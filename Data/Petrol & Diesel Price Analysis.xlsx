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376824-C2E2-42FA-ADAC-DBF087009328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📋 INDEX" sheetId="1" r:id="rId1"/>
    <sheet name="1. Yearly Trends" sheetId="2" r:id="rId2"/>
    <sheet name="2. Monthly Prices" sheetId="3" r:id="rId3"/>
    <sheet name="3. State-wise Prices" sheetId="4" r:id="rId4"/>
    <sheet name="4. Crude Oil Impact" sheetId="5" r:id="rId5"/>
    <sheet name="5. Tax Breakdown" sheetId="6" r:id="rId6"/>
    <sheet name="6. Inflation Relation" sheetId="7" r:id="rId7"/>
    <sheet name="7. Diesel vs Petrol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8" l="1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17" i="2"/>
  <c r="F17" i="2"/>
  <c r="E17" i="2"/>
  <c r="D17" i="2"/>
  <c r="C17" i="2"/>
  <c r="G16" i="2"/>
  <c r="F16" i="2"/>
  <c r="E16" i="2"/>
  <c r="D16" i="2"/>
  <c r="C16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</calcChain>
</file>

<file path=xl/sharedStrings.xml><?xml version="1.0" encoding="utf-8"?>
<sst xmlns="http://schemas.openxmlformats.org/spreadsheetml/2006/main" count="494" uniqueCount="336">
  <si>
    <t>Comprehensive research dataset covering price trends, state-wise data, crude oil impact, tax structure, inflation &amp; diesel vs petrol comparison</t>
  </si>
  <si>
    <t>SHEET</t>
  </si>
  <si>
    <t>DESCRIPTION</t>
  </si>
  <si>
    <t>DATA RANGE</t>
  </si>
  <si>
    <t>1. Yearly Trends</t>
  </si>
  <si>
    <t>Annual average petrol &amp; diesel prices – Delhi (baseline)</t>
  </si>
  <si>
    <t>2016–2026</t>
  </si>
  <si>
    <t>2. Monthly Prices</t>
  </si>
  <si>
    <t>Month-wise petrol &amp; diesel prices in Delhi</t>
  </si>
  <si>
    <t>Jan 2016 – May 2026</t>
  </si>
  <si>
    <t>3. State-wise Prices</t>
  </si>
  <si>
    <t>2018, 2020, 2022, 2024, 2026</t>
  </si>
  <si>
    <t>4. Crude Oil Impact</t>
  </si>
  <si>
    <t>WTI crude oil prices vs Indian retail fuel prices</t>
  </si>
  <si>
    <t>5. Tax Breakdown</t>
  </si>
  <si>
    <t>Central excise duty + state VAT components per litre</t>
  </si>
  <si>
    <t>6. Inflation Relation</t>
  </si>
  <si>
    <t>CPI inflation vs fuel price correlation data</t>
  </si>
  <si>
    <t>2016–2024</t>
  </si>
  <si>
    <t>7. Diesel vs Petrol</t>
  </si>
  <si>
    <t>Head-to-head comparison: price, gap, usage, tax &amp; trends</t>
  </si>
  <si>
    <t>Sources: PPAC (Petroleum Planning &amp; Analysis Cell), Indian Oil Corporation, GlobalPetrolPrices.com, ClearTax, PRS India, RBI, Ministry of Petroleum &amp; Natural Gas | Compiled May 2026</t>
  </si>
  <si>
    <t>ANNUAL PETROL &amp; DIESEL PRICES — DELHI BASELINE (₹ per litre)</t>
  </si>
  <si>
    <t>Year</t>
  </si>
  <si>
    <t>Petrol Price (₹/L)</t>
  </si>
  <si>
    <t>Diesel Price (₹/L)</t>
  </si>
  <si>
    <t>Petrol YoY Change (₹)</t>
  </si>
  <si>
    <t>Diesel YoY Change (₹)</t>
  </si>
  <si>
    <t>Petrol YoY Change (%)</t>
  </si>
  <si>
    <t>Diesel YoY Change (%)</t>
  </si>
  <si>
    <t>Key Event</t>
  </si>
  <si>
    <t>—</t>
  </si>
  <si>
    <t>Excise hiked; crude fell to $43/bbl</t>
  </si>
  <si>
    <t>Prices rise; dynamic pricing begins Jun 2017</t>
  </si>
  <si>
    <t>Crude spikes to $65; petrol nears ₹80</t>
  </si>
  <si>
    <t>Crude moderates; slight relief</t>
  </si>
  <si>
    <t>COVID: crude crash, excise +₹13 diesel</t>
  </si>
  <si>
    <t>Record high; Nov cut ₹5 petrol/₹10 diesel</t>
  </si>
  <si>
    <t>Russia-Ukraine; May excise cut ₹8/₹6</t>
  </si>
  <si>
    <t>Prices stable; OMC losses absorbed</t>
  </si>
  <si>
    <t>Election: ₹2/L cut in March 2024</t>
  </si>
  <si>
    <t>Central excise reduced to ₹13/L (petrol)</t>
  </si>
  <si>
    <t>₹3/L hike May 2026 (first in 4 years)</t>
  </si>
  <si>
    <t>SUMMARY</t>
  </si>
  <si>
    <t>Min</t>
  </si>
  <si>
    <t>Max</t>
  </si>
  <si>
    <t>Average</t>
  </si>
  <si>
    <t>Total Increase (₹)</t>
  </si>
  <si>
    <t>Total Increase (%)</t>
  </si>
  <si>
    <t>Petrol</t>
  </si>
  <si>
    <t>Diesel</t>
  </si>
  <si>
    <t>Sources: PPAC Annual Reports, Indian Oil Corporation historical data, GlobalPetrolPrices.com | All prices are annual averages for Delhi (Jan 1 or dominant price for the year)</t>
  </si>
  <si>
    <t>MONTHLY PETROL &amp; DIESEL PRICES — DELHI (₹ per litre)</t>
  </si>
  <si>
    <t>Month</t>
  </si>
  <si>
    <t>Petrol (₹/L)</t>
  </si>
  <si>
    <t>Diesel (₹/L)</t>
  </si>
  <si>
    <t>Petrol-Diesel Gap (₹)</t>
  </si>
  <si>
    <t>Remarks</t>
  </si>
  <si>
    <t>Jan</t>
  </si>
  <si>
    <t>Feb</t>
  </si>
  <si>
    <t>Mar</t>
  </si>
  <si>
    <t>Apr</t>
  </si>
  <si>
    <t>Crude lowest at $27/bbl</t>
  </si>
  <si>
    <t>May</t>
  </si>
  <si>
    <t>Jun</t>
  </si>
  <si>
    <t>Jul</t>
  </si>
  <si>
    <t>Aug</t>
  </si>
  <si>
    <t>Sep</t>
  </si>
  <si>
    <t>Oct</t>
  </si>
  <si>
    <t>Nov</t>
  </si>
  <si>
    <t>Dec</t>
  </si>
  <si>
    <t>Daily dynamic pricing introduced</t>
  </si>
  <si>
    <t>Peak of 2018; crude $85</t>
  </si>
  <si>
    <t>Excise +₹10 petrol, +₹13 diesel</t>
  </si>
  <si>
    <t>All-time high ₹110.04 Delhi</t>
  </si>
  <si>
    <t>Excise cut ₹5/L petrol</t>
  </si>
  <si>
    <t>Russia-Ukraine war spike</t>
  </si>
  <si>
    <t>Excise cut ₹8/L petrol, ₹6 diesel</t>
  </si>
  <si>
    <t>₹2/L cut pre-election</t>
  </si>
  <si>
    <t>₹3/L hike — first in 4 years</t>
  </si>
  <si>
    <t>Sources: Indian Oil Corporation Ltd (IOCL) price notifications, GlobalPetrolPrices.com weekly data, scribd historical records | Delhi retail prices inclusive of all taxes</t>
  </si>
  <si>
    <t>STATE / CITY-WISE PETROL PRICES (₹ per litre) — SNAPSHOT YEARS</t>
  </si>
  <si>
    <t>City / State</t>
  </si>
  <si>
    <t>State VAT%</t>
  </si>
  <si>
    <t>Petrol 2018</t>
  </si>
  <si>
    <t>Petrol 2020</t>
  </si>
  <si>
    <t>Petrol 2022</t>
  </si>
  <si>
    <t>Petrol 2024</t>
  </si>
  <si>
    <t>Petrol May-2026</t>
  </si>
  <si>
    <t>Diesel 2024</t>
  </si>
  <si>
    <t>Diesel May-2026</t>
  </si>
  <si>
    <t>VAT Category</t>
  </si>
  <si>
    <t>Delhi</t>
  </si>
  <si>
    <t>30% VAT</t>
  </si>
  <si>
    <t>Low</t>
  </si>
  <si>
    <t>17.36%+₹4</t>
  </si>
  <si>
    <t>36%+₹1.5</t>
  </si>
  <si>
    <t>High</t>
  </si>
  <si>
    <t>26%+₹5.12</t>
  </si>
  <si>
    <t>25.92%</t>
  </si>
  <si>
    <t>Medium</t>
  </si>
  <si>
    <t>15%+₹11.52</t>
  </si>
  <si>
    <t>35.20% VAT</t>
  </si>
  <si>
    <t>Very High</t>
  </si>
  <si>
    <t>25%+₹1000/KL</t>
  </si>
  <si>
    <t>33%</t>
  </si>
  <si>
    <t>26.8%/₹18.74</t>
  </si>
  <si>
    <t>22%+₹13.56</t>
  </si>
  <si>
    <t>22.45%</t>
  </si>
  <si>
    <t>32% VAT</t>
  </si>
  <si>
    <t>32.66%</t>
  </si>
  <si>
    <t>30.08%</t>
  </si>
  <si>
    <t>38%+Cess</t>
  </si>
  <si>
    <t>Highest</t>
  </si>
  <si>
    <t>VAT CATEGORY LEGEND</t>
  </si>
  <si>
    <t>&lt; 25% effective VAT — Delhi, Ahmedabad, Chandigarh</t>
  </si>
  <si>
    <t>25–30% effective VAT — Bangalore, Chennai, Kochi</t>
  </si>
  <si>
    <t>30–35% effective VAT — Mumbai, Kolkata, Bhopal</t>
  </si>
  <si>
    <t>35–37% effective VAT — Hyderabad, Bhubaneswar</t>
  </si>
  <si>
    <t>&gt; 37% VAT + cess — Sri Ganganagar, Jaipur</t>
  </si>
  <si>
    <t>Sources: IOCL city-wise price bulletins; Goodreturns.in; CardEkho.com fuel tracker; ClearTax state VAT tables | May 2026 prices as on 16 May 2026</t>
  </si>
  <si>
    <t>CRUDE OIL PRICE vs INDIA RETAIL FUEL PRICES (Annual Average)</t>
  </si>
  <si>
    <t>WTI Crude ($/bbl)</t>
  </si>
  <si>
    <t>Petrol Delhi (₹/L)</t>
  </si>
  <si>
    <t>Diesel Delhi (₹/L)</t>
  </si>
  <si>
    <t>USD/INR Avg</t>
  </si>
  <si>
    <t>Crude in INR (₹/bbl)</t>
  </si>
  <si>
    <t>Retail/Crude Ratio (Petrol)</t>
  </si>
  <si>
    <t>Government Action / Context</t>
  </si>
  <si>
    <t>9 excise hikes since 2014 absorb windfall; consumers shielded from crude fall</t>
  </si>
  <si>
    <t>Daily dynamic pricing introduced June 2017; moderate pass-through</t>
  </si>
  <si>
    <t>Crude to $85 in Oct; ₹84 petrol touched; ₹1.5/L excise cut Oct 2018</t>
  </si>
  <si>
    <t>Crude softens; US-China trade war; moderate price decline</t>
  </si>
  <si>
    <t>Crude crashed to $20 Apr; govt raised excise +₹10 petrol +₹13 diesel</t>
  </si>
  <si>
    <t>Recovery drives crude up; record retail prices; Nov excise cut</t>
  </si>
  <si>
    <t>Russia-Ukraine; Brent $127 Mar; May excise cut ₹8/₹6</t>
  </si>
  <si>
    <t>Prices stable despite crude; OMC losses manage retail freeze</t>
  </si>
  <si>
    <t>Pre-election ₹2 cut; OMC under pressure</t>
  </si>
  <si>
    <t>Excise reduced to ₹13/L on petrol in Apr 2025</t>
  </si>
  <si>
    <t>₹3/L hike May 2026; OMC losses cited; crude ~$65</t>
  </si>
  <si>
    <t>KEY INSIGHT: CRUDE-RETAIL DECOUPLING</t>
  </si>
  <si>
    <t>2014–2016</t>
  </si>
  <si>
    <t>Crude fell 76% ($115→$27). Excise raised 9x. Retail fell only ~12%.</t>
  </si>
  <si>
    <t>2020</t>
  </si>
  <si>
    <t>Crude crashed 69%. Excise +₹13 diesel. Retail ROSE by ₹10+ due to tax.</t>
  </si>
  <si>
    <t>2021–22</t>
  </si>
  <si>
    <t>Crude doubled. Retail rose 20%. Excise cuts in Nov 2021 &amp; May 2022 cushioned.</t>
  </si>
  <si>
    <t>2023–24</t>
  </si>
  <si>
    <t>Crude moderated. Retail FROZEN. OMC losses absorbed to control inflation.</t>
  </si>
  <si>
    <t>Rule of thumb</t>
  </si>
  <si>
    <t>₹1/bbl crude change ≈ ₹0.50–0.65/L change in retail (with full pass-through)</t>
  </si>
  <si>
    <t>Sources: EIA WTI crude annual averages, RBI USD/INR historical exchange rates, PPAC petroleum data, PRS India fuel analysis | Retail/Crude ratio = Petrol ₹/L ÷ Crude $/bbl</t>
  </si>
  <si>
    <t>CENTRAL EXCISE DUTY HISTORY — PETROL &amp; DIESEL (₹ per litre)</t>
  </si>
  <si>
    <t>Year/Date</t>
  </si>
  <si>
    <t>Petrol Excise (₹/L)</t>
  </si>
  <si>
    <t>Diesel Excise (₹/L)</t>
  </si>
  <si>
    <t>Petrol Base Price</t>
  </si>
  <si>
    <t>Petrol State VAT (Delhi)</t>
  </si>
  <si>
    <t>Petrol Dealer Margin</t>
  </si>
  <si>
    <t>Total Petrol Delhi</t>
  </si>
  <si>
    <t>Tax % of Retail</t>
  </si>
  <si>
    <t>Change / Trigger</t>
  </si>
  <si>
    <t>2016 (Jan)</t>
  </si>
  <si>
    <t>Post-9 hikes since 2014</t>
  </si>
  <si>
    <t>2017 (Oct)</t>
  </si>
  <si>
    <t>Stable; dynamic pricing begins</t>
  </si>
  <si>
    <t>2018 (Oct)</t>
  </si>
  <si>
    <t>₹1.5/L cut Oct 2018; crude peak</t>
  </si>
  <si>
    <t>2019 (Jul)</t>
  </si>
  <si>
    <t>Modest crude; stable excise</t>
  </si>
  <si>
    <t>2020 (May)</t>
  </si>
  <si>
    <t>COVID: +₹10 petrol, +₹13 diesel</t>
  </si>
  <si>
    <t>2021 (Oct)</t>
  </si>
  <si>
    <t>Pre-cut peak; 54% tax share</t>
  </si>
  <si>
    <t>2021 (Nov 4)</t>
  </si>
  <si>
    <t>Cut ₹5 petrol, ₹10 diesel</t>
  </si>
  <si>
    <t>2022 (May 21)</t>
  </si>
  <si>
    <t>Cut ₹8 petrol, ₹6 diesel; inflation</t>
  </si>
  <si>
    <t>2023</t>
  </si>
  <si>
    <t>No change; prices frozen</t>
  </si>
  <si>
    <t>2024</t>
  </si>
  <si>
    <t>₹2/L election cut absorbed in base</t>
  </si>
  <si>
    <t>Apr-2025</t>
  </si>
  <si>
    <t>Excise reduced; Apr 2025</t>
  </si>
  <si>
    <t>May-2026</t>
  </si>
  <si>
    <t>₹3 hike via base price increase</t>
  </si>
  <si>
    <t>STATE-WISE VAT ON PETROL (2024) — TOP STATES</t>
  </si>
  <si>
    <t>State</t>
  </si>
  <si>
    <t>VAT Rate / Structure</t>
  </si>
  <si>
    <t>Rank (High to Low)</t>
  </si>
  <si>
    <t>Sri Ganganagar, Raj.</t>
  </si>
  <si>
    <t>Andhra Pradesh</t>
  </si>
  <si>
    <t>31%+₹4/L+₹1 cess</t>
  </si>
  <si>
    <t>Telangana/Hyderabad</t>
  </si>
  <si>
    <t>35.20%</t>
  </si>
  <si>
    <t>Bhopal, Madhya Pradesh</t>
  </si>
  <si>
    <t>Rajasthan (Jaipur)</t>
  </si>
  <si>
    <t>36%+₹1.5/L</t>
  </si>
  <si>
    <t>Kolkata, West Bengal</t>
  </si>
  <si>
    <t>Mumbai, Maharashtra</t>
  </si>
  <si>
    <t>26%+₹5.12/L</t>
  </si>
  <si>
    <t>Bangalore, Karnataka</t>
  </si>
  <si>
    <t>Chennai, Tamil Nadu</t>
  </si>
  <si>
    <t>15%+₹11.52/L</t>
  </si>
  <si>
    <t>Ahmedabad, Gujarat</t>
  </si>
  <si>
    <t>17.36%+₹4/L</t>
  </si>
  <si>
    <t>Chandigarh (UT)</t>
  </si>
  <si>
    <t>Sources: data.gov.in (OGD Platform) Month-wise Excise Duty 2016–2022; Ministry of Petroleum &amp; Natural Gas; ClearTax excise history; GoDigit state VAT tables | Excise rates are central rates uniform across India</t>
  </si>
  <si>
    <t>FUEL PRICES &amp; CPI INFLATION CORRELATION — INDIA (Annual Data)</t>
  </si>
  <si>
    <t>India CPI Inflation %</t>
  </si>
  <si>
    <t>Fuel Weight in CPI (~%)</t>
  </si>
  <si>
    <t>Crude WTI ($/bbl)</t>
  </si>
  <si>
    <t>Repo Rate (RBI %)</t>
  </si>
  <si>
    <t>Macro Context</t>
  </si>
  <si>
    <t>RBI cut rates; low inflation year</t>
  </si>
  <si>
    <t>CPI below RBI target of 4%; fuel stable</t>
  </si>
  <si>
    <t>RBI raised rates twice; fuel raised inflation</t>
  </si>
  <si>
    <t>RBI cut 5x; fuel moderated</t>
  </si>
  <si>
    <t>COVID: CPI surged on food+fuel tax hike</t>
  </si>
  <si>
    <t>Fuel to record; core inflation rising</t>
  </si>
  <si>
    <t>CPI above 6% ceiling; RBI +250bps hikes</t>
  </si>
  <si>
    <t>Inflation moderates; fuel frozen</t>
  </si>
  <si>
    <t>RBI holds; inflation near target</t>
  </si>
  <si>
    <t>RBI cuts begin; fuel stable</t>
  </si>
  <si>
    <t>₹3 hike May; inflation watch</t>
  </si>
  <si>
    <t>HOW FUEL PRICES AFFECT INFLATION — TRANSMISSION CHANNELS</t>
  </si>
  <si>
    <t>Direct channel</t>
  </si>
  <si>
    <t>Fuel has ~7.9% weight in CPI basket. 10% petrol rise → +0.79pp CPI directly</t>
  </si>
  <si>
    <t>Transport channel</t>
  </si>
  <si>
    <t>Diesel powers ~80% of freight trucks. ₹1 diesel rise → +0.15–0.20% CPI (indirect)</t>
  </si>
  <si>
    <t>Food channel</t>
  </si>
  <si>
    <t>Agriculture uses diesel for irrigation &amp; tractor fuel — impacts food inflation</t>
  </si>
  <si>
    <t>Services channel</t>
  </si>
  <si>
    <t>Petrol affects auto-rickshaw, taxi fares, delivery costs — feeds into services CPI</t>
  </si>
  <si>
    <t>RBI response</t>
  </si>
  <si>
    <t>Fuel-driven inflation is 'supply-side'; RBI avoids over-tightening but monitors</t>
  </si>
  <si>
    <t>2022 lesson</t>
  </si>
  <si>
    <t>Fuel excise cuts in Nov 2021 and May 2022 directly contributed to CPI falling from 7.4% to 5.7%</t>
  </si>
  <si>
    <t>Sources: RBI Annual Reports, MoSPI CPI data, MOSPI National Statistical Office | CPI weight for fuel &amp; light ~7.94% (Housing+Fuel sub-index). Repo rate is year-end rate.</t>
  </si>
  <si>
    <t>DIESEL vs PETROL — COMPREHENSIVE COMPARISON (Delhi, ₹/litre)</t>
  </si>
  <si>
    <t>Price Gap (Petrol−Diesel)</t>
  </si>
  <si>
    <t>Gap as % of Petrol</t>
  </si>
  <si>
    <t>Large gap; diesel heavily subsidised historically</t>
  </si>
  <si>
    <t>Dynamic pricing for both from Jun 2017</t>
  </si>
  <si>
    <t>Excise cut Oct 2018; gap narrows</t>
  </si>
  <si>
    <t>Gap narrows to ~₹8; diesel reform working</t>
  </si>
  <si>
    <t>COVID hike: diesel excise surged more</t>
  </si>
  <si>
    <t>Both near parity; gap &lt;₹10 for first time</t>
  </si>
  <si>
    <t>Post excise cuts; historic low gap ~₹3</t>
  </si>
  <si>
    <t>Gap stabilises at ₹10.50</t>
  </si>
  <si>
    <t>Near parity; ₹7.10 gap</t>
  </si>
  <si>
    <t>Excise reduced further; gap ₹7.79</t>
  </si>
  <si>
    <t>Post ₹3 hike; gap ₹10.15</t>
  </si>
  <si>
    <t>PETROL vs DIESEL — STRUCTURAL COMPARISON</t>
  </si>
  <si>
    <t>Parameter</t>
  </si>
  <si>
    <t>PETROL</t>
  </si>
  <si>
    <t>DIESEL</t>
  </si>
  <si>
    <t>Implication</t>
  </si>
  <si>
    <t>Primary users</t>
  </si>
  <si>
    <t>Personal cars, 2-wheelers, auto</t>
  </si>
  <si>
    <t>Trucks, buses, tractors, generators</t>
  </si>
  <si>
    <t>Diesel = commercial/freight fuel</t>
  </si>
  <si>
    <t>Excise duty (2026)</t>
  </si>
  <si>
    <t>₹13.00/L</t>
  </si>
  <si>
    <t>₹10.00/L</t>
  </si>
  <si>
    <t>Petrol taxed higher</t>
  </si>
  <si>
    <t>Avg state VAT</t>
  </si>
  <si>
    <t>~25–33%</t>
  </si>
  <si>
    <t>~16–25%</t>
  </si>
  <si>
    <t>Diesel VAT typically lower</t>
  </si>
  <si>
    <t>CPI weight (direct)</t>
  </si>
  <si>
    <t>~3.5%</t>
  </si>
  <si>
    <t>~4.4%</t>
  </si>
  <si>
    <t>Diesel has higher CPI impact</t>
  </si>
  <si>
    <t>Subsidy history</t>
  </si>
  <si>
    <t>Deregulated 2010</t>
  </si>
  <si>
    <t>Deregulated 2014</t>
  </si>
  <si>
    <t>Diesel subsidy lasted longer</t>
  </si>
  <si>
    <t>Price 2016 (Delhi)</t>
  </si>
  <si>
    <t>₹64.38/L</t>
  </si>
  <si>
    <t>₹50.19/L</t>
  </si>
  <si>
    <t>₹14 gap; diesel cheaper</t>
  </si>
  <si>
    <t>Price 2026 (Delhi)</t>
  </si>
  <si>
    <t>₹97.77/L</t>
  </si>
  <si>
    <t>₹87.62/L</t>
  </si>
  <si>
    <t>₹10 gap; converging</t>
  </si>
  <si>
    <t>10-year increase</t>
  </si>
  <si>
    <t>+51.9%</t>
  </si>
  <si>
    <t>+74.6%</t>
  </si>
  <si>
    <t>Diesel rose faster (subsidy removal)</t>
  </si>
  <si>
    <t>Inflation impact</t>
  </si>
  <si>
    <t>Moderate — consumer vehicles</t>
  </si>
  <si>
    <t>High — supply chain, food prices</t>
  </si>
  <si>
    <t>Diesel hike = broader inflation</t>
  </si>
  <si>
    <t>EV substitution risk</t>
  </si>
  <si>
    <t>High (2-wheelers going EV fast)</t>
  </si>
  <si>
    <t>Medium (CVs slow to electrify)</t>
  </si>
  <si>
    <t>Petrol demand declining faster</t>
  </si>
  <si>
    <t>Sources: PPAC data; MoP&amp;NG; SIAM vehicle registration data; RBI; IndianOil price bulletins | Diesel was subsidised until Oct 2014; full deregulation achieved Jan 2015</t>
  </si>
  <si>
    <t>bbl stands for a barrel of crude oil. [1]</t>
  </si>
  <si>
    <r>
      <t>Volume:</t>
    </r>
    <r>
      <rPr>
        <sz val="10"/>
        <color theme="1"/>
        <rFont val="Arial"/>
        <family val="2"/>
      </rPr>
      <t xml:space="preserve"> Exactly 42 US gallons.</t>
    </r>
  </si>
  <si>
    <r>
      <t>Metric Equivalent:</t>
    </r>
    <r>
      <rPr>
        <sz val="10"/>
        <color theme="1"/>
        <rFont val="Arial"/>
        <family val="2"/>
      </rPr>
      <t xml:space="preserve"> Approximately 159 liters.</t>
    </r>
  </si>
  <si>
    <t xml:space="preserve">City/state petrol &amp; diesel prices </t>
  </si>
  <si>
    <t>Petrol &amp; Diesel Price Analysis of India (2016–2026)</t>
  </si>
  <si>
    <t>Ahmedabad</t>
  </si>
  <si>
    <t xml:space="preserve"> Gujarat</t>
  </si>
  <si>
    <t>Jaipur</t>
  </si>
  <si>
    <t xml:space="preserve"> Rajasthan</t>
  </si>
  <si>
    <t>Mumbai</t>
  </si>
  <si>
    <t xml:space="preserve"> Maharashtra</t>
  </si>
  <si>
    <t>Pune</t>
  </si>
  <si>
    <t>Bangalore</t>
  </si>
  <si>
    <t xml:space="preserve"> Karnataka</t>
  </si>
  <si>
    <t>Chennai</t>
  </si>
  <si>
    <t xml:space="preserve"> Tamil Nadu</t>
  </si>
  <si>
    <t>Hyderabad</t>
  </si>
  <si>
    <t xml:space="preserve"> Telangana</t>
  </si>
  <si>
    <t>Kolkata</t>
  </si>
  <si>
    <t xml:space="preserve"> West Bengal</t>
  </si>
  <si>
    <t>Bhopal</t>
  </si>
  <si>
    <t xml:space="preserve"> Madhya Pradesh</t>
  </si>
  <si>
    <t>Lucknow</t>
  </si>
  <si>
    <t xml:space="preserve"> Uttar Pradesh</t>
  </si>
  <si>
    <t>Patna</t>
  </si>
  <si>
    <t xml:space="preserve"> Bihar</t>
  </si>
  <si>
    <t>Chandigarh</t>
  </si>
  <si>
    <t xml:space="preserve"> Chandigarh</t>
  </si>
  <si>
    <t>Bhubaneswar</t>
  </si>
  <si>
    <t xml:space="preserve"> Odisha</t>
  </si>
  <si>
    <t>Guwahati</t>
  </si>
  <si>
    <t xml:space="preserve"> Assam</t>
  </si>
  <si>
    <t>Kochi</t>
  </si>
  <si>
    <t xml:space="preserve"> Kerala</t>
  </si>
  <si>
    <t>Sri Ganganagar</t>
  </si>
  <si>
    <t xml:space="preserve"> Rajasthan </t>
  </si>
  <si>
    <t xml:space="preserve">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</si>
</sst>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₹#,##0.00"/>
    <numFmt numFmtId="165" formatCode="\₹#,##0.00;[Red]&quot;(₹&quot;#,##0.00\)"/>
    <numFmt numFmtId="166" formatCode="0.0%;[Red]\(0.0%\)"/>
    <numFmt numFmtId="167" formatCode="0.0%"/>
    <numFmt numFmtId="168" formatCode="\$#,##0.00"/>
    <numFmt numFmtId="169" formatCode="\₹#,##0"/>
    <numFmt numFmtId="170" formatCode="0.00\%"/>
  </numFmts>
  <fonts count="17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i/>
      <sz val="10"/>
      <color rgb="FF404040"/>
      <name val="Arial"/>
      <family val="2"/>
    </font>
    <font>
      <b/>
      <sz val="10"/>
      <color rgb="FFFFFFFF"/>
      <name val="Arial"/>
      <family val="2"/>
    </font>
    <font>
      <b/>
      <sz val="10"/>
      <color rgb="FF404040"/>
      <name val="Arial"/>
      <family val="2"/>
    </font>
    <font>
      <sz val="10"/>
      <color rgb="FF404040"/>
      <name val="Arial"/>
      <family val="2"/>
    </font>
    <font>
      <i/>
      <sz val="8"/>
      <color rgb="FF808080"/>
      <name val="Arial"/>
      <family val="2"/>
    </font>
    <font>
      <b/>
      <sz val="12"/>
      <color rgb="FFFFFFFF"/>
      <name val="Arial"/>
      <family val="2"/>
    </font>
    <font>
      <sz val="10"/>
      <color rgb="FF808080"/>
      <name val="Arial"/>
      <family val="2"/>
    </font>
    <font>
      <sz val="10"/>
      <name val="Arial"/>
      <family val="2"/>
    </font>
    <font>
      <i/>
      <sz val="9"/>
      <color rgb="FF4472C4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FFFFF"/>
      </patternFill>
    </fill>
    <fill>
      <patternFill patternType="solid">
        <fgColor rgb="FF2F75B6"/>
        <bgColor rgb="FF4472C4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FCE4D6"/>
      </patternFill>
    </fill>
    <fill>
      <patternFill patternType="solid">
        <fgColor rgb="FFFFFF00"/>
        <bgColor rgb="FFF2F7FC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91">
    <xf numFmtId="0" fontId="0" fillId="0" borderId="0" xfId="0"/>
    <xf numFmtId="0" fontId="7" fillId="6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/>
    <xf numFmtId="166" fontId="9" fillId="5" borderId="1" xfId="0" applyNumberFormat="1" applyFont="1" applyFill="1" applyBorder="1"/>
    <xf numFmtId="165" fontId="9" fillId="4" borderId="1" xfId="0" applyNumberFormat="1" applyFont="1" applyFill="1" applyBorder="1"/>
    <xf numFmtId="166" fontId="9" fillId="4" borderId="1" xfId="0" applyNumberFormat="1" applyFont="1" applyFill="1" applyBorder="1"/>
    <xf numFmtId="0" fontId="9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/>
    <xf numFmtId="167" fontId="9" fillId="7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/>
    <xf numFmtId="164" fontId="9" fillId="5" borderId="1" xfId="0" applyNumberFormat="1" applyFont="1" applyFill="1" applyBorder="1"/>
    <xf numFmtId="0" fontId="10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0" fillId="0" borderId="1" xfId="0" applyBorder="1"/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68" fontId="5" fillId="4" borderId="1" xfId="0" applyNumberFormat="1" applyFont="1" applyFill="1" applyBorder="1" applyAlignment="1">
      <alignment horizontal="right" vertical="center"/>
    </xf>
    <xf numFmtId="169" fontId="9" fillId="4" borderId="1" xfId="0" applyNumberFormat="1" applyFont="1" applyFill="1" applyBorder="1"/>
    <xf numFmtId="2" fontId="9" fillId="4" borderId="1" xfId="0" applyNumberFormat="1" applyFont="1" applyFill="1" applyBorder="1"/>
    <xf numFmtId="0" fontId="11" fillId="4" borderId="1" xfId="0" applyFont="1" applyFill="1" applyBorder="1" applyAlignment="1">
      <alignment horizontal="left" vertical="center"/>
    </xf>
    <xf numFmtId="168" fontId="5" fillId="5" borderId="1" xfId="0" applyNumberFormat="1" applyFont="1" applyFill="1" applyBorder="1" applyAlignment="1">
      <alignment horizontal="right" vertical="center"/>
    </xf>
    <xf numFmtId="169" fontId="9" fillId="5" borderId="1" xfId="0" applyNumberFormat="1" applyFont="1" applyFill="1" applyBorder="1"/>
    <xf numFmtId="2" fontId="9" fillId="5" borderId="1" xfId="0" applyNumberFormat="1" applyFont="1" applyFill="1" applyBorder="1"/>
    <xf numFmtId="0" fontId="11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/>
    <xf numFmtId="167" fontId="9" fillId="4" borderId="1" xfId="0" applyNumberFormat="1" applyFont="1" applyFill="1" applyBorder="1"/>
    <xf numFmtId="167" fontId="9" fillId="5" borderId="1" xfId="0" applyNumberFormat="1" applyFont="1" applyFill="1" applyBorder="1"/>
    <xf numFmtId="170" fontId="5" fillId="4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70" fontId="5" fillId="5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right" vertical="center"/>
    </xf>
    <xf numFmtId="170" fontId="5" fillId="9" borderId="1" xfId="0" applyNumberFormat="1" applyFont="1" applyFill="1" applyBorder="1" applyAlignment="1">
      <alignment horizontal="right" vertical="center"/>
    </xf>
    <xf numFmtId="167" fontId="5" fillId="9" borderId="1" xfId="0" applyNumberFormat="1" applyFont="1" applyFill="1" applyBorder="1" applyAlignment="1">
      <alignment horizontal="right" vertical="center"/>
    </xf>
    <xf numFmtId="168" fontId="5" fillId="9" borderId="1" xfId="0" applyNumberFormat="1" applyFont="1" applyFill="1" applyBorder="1" applyAlignment="1">
      <alignment horizontal="right" vertical="center"/>
    </xf>
    <xf numFmtId="10" fontId="5" fillId="9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164" fontId="13" fillId="7" borderId="1" xfId="0" applyNumberFormat="1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right" vertical="center"/>
    </xf>
    <xf numFmtId="164" fontId="9" fillId="12" borderId="1" xfId="0" applyNumberFormat="1" applyFont="1" applyFill="1" applyBorder="1"/>
    <xf numFmtId="0" fontId="10" fillId="12" borderId="1" xfId="0" applyFont="1" applyFill="1" applyBorder="1" applyAlignment="1">
      <alignment horizontal="left" vertical="center"/>
    </xf>
    <xf numFmtId="1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right" vertical="center"/>
    </xf>
    <xf numFmtId="164" fontId="9" fillId="13" borderId="1" xfId="0" applyNumberFormat="1" applyFont="1" applyFill="1" applyBorder="1"/>
    <xf numFmtId="0" fontId="10" fillId="13" borderId="1" xfId="0" applyFont="1" applyFill="1" applyBorder="1" applyAlignment="1">
      <alignment horizontal="left" vertical="center"/>
    </xf>
    <xf numFmtId="0" fontId="15" fillId="0" borderId="0" xfId="1"/>
    <xf numFmtId="0" fontId="14" fillId="0" borderId="0" xfId="0" applyFont="1" applyAlignment="1">
      <alignment vertical="center"/>
    </xf>
    <xf numFmtId="0" fontId="7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10" fontId="0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2F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CE4D6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kimray.com/training/common-oil-and-gas-abbrevi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9"/>
  <sheetViews>
    <sheetView showGridLines="0" topLeftCell="A6" zoomScale="105" zoomScaleNormal="100" workbookViewId="0">
      <selection activeCell="F4" sqref="F4"/>
    </sheetView>
  </sheetViews>
  <sheetFormatPr defaultColWidth="8.6640625" defaultRowHeight="14.4" x14ac:dyDescent="0.3"/>
  <cols>
    <col min="1" max="1" width="5" customWidth="1"/>
    <col min="2" max="2" width="45" customWidth="1"/>
    <col min="3" max="3" width="55" customWidth="1"/>
    <col min="4" max="4" width="25.88671875" bestFit="1" customWidth="1"/>
  </cols>
  <sheetData>
    <row r="1" spans="2:4" ht="15" customHeight="1" x14ac:dyDescent="0.3"/>
    <row r="2" spans="2:4" ht="19.5" customHeight="1" x14ac:dyDescent="0.3">
      <c r="B2" s="81" t="s">
        <v>303</v>
      </c>
      <c r="C2" s="81"/>
      <c r="D2" s="81"/>
    </row>
    <row r="3" spans="2:4" ht="19.5" customHeight="1" x14ac:dyDescent="0.3">
      <c r="B3" s="81"/>
      <c r="C3" s="81"/>
      <c r="D3" s="81"/>
    </row>
    <row r="4" spans="2:4" ht="19.5" customHeight="1" x14ac:dyDescent="0.3">
      <c r="B4" s="81"/>
      <c r="C4" s="81"/>
      <c r="D4" s="81"/>
    </row>
    <row r="5" spans="2:4" ht="19.5" customHeight="1" x14ac:dyDescent="0.3">
      <c r="B5" s="81"/>
      <c r="C5" s="81"/>
      <c r="D5" s="81"/>
    </row>
    <row r="6" spans="2:4" ht="19.5" customHeight="1" x14ac:dyDescent="0.3">
      <c r="B6" s="81"/>
      <c r="C6" s="81"/>
      <c r="D6" s="81"/>
    </row>
    <row r="7" spans="2:4" ht="19.5" customHeight="1" x14ac:dyDescent="0.3">
      <c r="B7" s="81"/>
      <c r="C7" s="81"/>
      <c r="D7" s="81"/>
    </row>
    <row r="8" spans="2:4" ht="30" customHeight="1" x14ac:dyDescent="0.3">
      <c r="B8" s="82" t="s">
        <v>0</v>
      </c>
      <c r="C8" s="82"/>
      <c r="D8" s="82"/>
    </row>
    <row r="10" spans="2:4" ht="18" customHeight="1" x14ac:dyDescent="0.3">
      <c r="B10" s="2" t="s">
        <v>1</v>
      </c>
      <c r="C10" s="3" t="s">
        <v>2</v>
      </c>
      <c r="D10" s="2" t="s">
        <v>3</v>
      </c>
    </row>
    <row r="11" spans="2:4" ht="18" customHeight="1" x14ac:dyDescent="0.3">
      <c r="B11" s="4" t="s">
        <v>4</v>
      </c>
      <c r="C11" s="5" t="s">
        <v>5</v>
      </c>
      <c r="D11" s="6" t="s">
        <v>6</v>
      </c>
    </row>
    <row r="12" spans="2:4" ht="18" customHeight="1" x14ac:dyDescent="0.3">
      <c r="B12" s="7" t="s">
        <v>7</v>
      </c>
      <c r="C12" s="8" t="s">
        <v>8</v>
      </c>
      <c r="D12" s="9" t="s">
        <v>9</v>
      </c>
    </row>
    <row r="13" spans="2:4" ht="18" customHeight="1" x14ac:dyDescent="0.3">
      <c r="B13" s="4" t="s">
        <v>10</v>
      </c>
      <c r="C13" s="5" t="s">
        <v>302</v>
      </c>
      <c r="D13" s="6" t="s">
        <v>11</v>
      </c>
    </row>
    <row r="14" spans="2:4" ht="18" customHeight="1" x14ac:dyDescent="0.3">
      <c r="B14" s="7" t="s">
        <v>12</v>
      </c>
      <c r="C14" s="8" t="s">
        <v>13</v>
      </c>
      <c r="D14" s="9" t="s">
        <v>6</v>
      </c>
    </row>
    <row r="15" spans="2:4" ht="18" customHeight="1" x14ac:dyDescent="0.3">
      <c r="B15" s="4" t="s">
        <v>14</v>
      </c>
      <c r="C15" s="5" t="s">
        <v>15</v>
      </c>
      <c r="D15" s="6" t="s">
        <v>6</v>
      </c>
    </row>
    <row r="16" spans="2:4" ht="18" customHeight="1" x14ac:dyDescent="0.3">
      <c r="B16" s="7" t="s">
        <v>16</v>
      </c>
      <c r="C16" s="8" t="s">
        <v>17</v>
      </c>
      <c r="D16" s="9" t="s">
        <v>18</v>
      </c>
    </row>
    <row r="17" spans="2:4" ht="18" customHeight="1" x14ac:dyDescent="0.3">
      <c r="B17" s="4" t="s">
        <v>19</v>
      </c>
      <c r="C17" s="5" t="s">
        <v>20</v>
      </c>
      <c r="D17" s="6" t="s">
        <v>6</v>
      </c>
    </row>
    <row r="19" spans="2:4" ht="19.350000000000001" customHeight="1" x14ac:dyDescent="0.3">
      <c r="B19" s="83" t="s">
        <v>21</v>
      </c>
      <c r="C19" s="83"/>
      <c r="D19" s="83"/>
    </row>
  </sheetData>
  <mergeCells count="3">
    <mergeCell ref="B2:D7"/>
    <mergeCell ref="B8:D8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9"/>
  <sheetViews>
    <sheetView showGridLines="0" zoomScale="111" zoomScaleNormal="100" workbookViewId="0">
      <selection activeCell="F23" sqref="F23"/>
    </sheetView>
  </sheetViews>
  <sheetFormatPr defaultColWidth="8.6640625" defaultRowHeight="14.4" x14ac:dyDescent="0.3"/>
  <cols>
    <col min="1" max="1" width="6" customWidth="1"/>
    <col min="2" max="2" width="10.109375" bestFit="1" customWidth="1"/>
    <col min="3" max="7" width="18" customWidth="1"/>
    <col min="8" max="8" width="22" customWidth="1"/>
    <col min="9" max="9" width="38.6640625" bestFit="1" customWidth="1"/>
  </cols>
  <sheetData>
    <row r="1" spans="2:9" ht="21.75" customHeight="1" x14ac:dyDescent="0.3">
      <c r="B1" s="77" t="s">
        <v>22</v>
      </c>
      <c r="C1" s="77"/>
      <c r="D1" s="77"/>
      <c r="E1" s="77"/>
      <c r="F1" s="77"/>
      <c r="G1" s="77"/>
      <c r="H1" s="77"/>
    </row>
    <row r="2" spans="2:9" ht="30" customHeight="1" x14ac:dyDescent="0.3">
      <c r="B2" s="10" t="s">
        <v>23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H2" s="10" t="s">
        <v>29</v>
      </c>
      <c r="I2" s="10" t="s">
        <v>30</v>
      </c>
    </row>
    <row r="3" spans="2:9" ht="18" customHeight="1" x14ac:dyDescent="0.3">
      <c r="B3" s="11">
        <v>2016</v>
      </c>
      <c r="C3" s="12">
        <v>64.38</v>
      </c>
      <c r="D3" s="12">
        <v>50.19</v>
      </c>
      <c r="E3" s="13" t="s">
        <v>31</v>
      </c>
      <c r="F3" s="13" t="s">
        <v>31</v>
      </c>
      <c r="G3" s="13" t="s">
        <v>31</v>
      </c>
      <c r="H3" s="13" t="s">
        <v>31</v>
      </c>
      <c r="I3" s="5" t="s">
        <v>32</v>
      </c>
    </row>
    <row r="4" spans="2:9" ht="18" customHeight="1" x14ac:dyDescent="0.3">
      <c r="B4" s="14">
        <v>2017</v>
      </c>
      <c r="C4" s="15">
        <v>69.989999999999995</v>
      </c>
      <c r="D4" s="15">
        <v>56.89</v>
      </c>
      <c r="E4" s="16">
        <f t="shared" ref="E4:E13" si="0">C4-C3</f>
        <v>5.6099999999999994</v>
      </c>
      <c r="F4" s="16">
        <f t="shared" ref="F4:F13" si="1">D4-D3</f>
        <v>6.7000000000000028</v>
      </c>
      <c r="G4" s="17">
        <f t="shared" ref="G4:G13" si="2">(C4-C3)/C3</f>
        <v>8.713886300093196E-2</v>
      </c>
      <c r="H4" s="17">
        <f t="shared" ref="H4:H13" si="3">(D4-D3)/D3</f>
        <v>0.13349272763498712</v>
      </c>
      <c r="I4" s="8" t="s">
        <v>33</v>
      </c>
    </row>
    <row r="5" spans="2:9" ht="18" customHeight="1" x14ac:dyDescent="0.3">
      <c r="B5" s="11">
        <v>2018</v>
      </c>
      <c r="C5" s="12">
        <v>78.52</v>
      </c>
      <c r="D5" s="12">
        <v>63.54</v>
      </c>
      <c r="E5" s="18">
        <f t="shared" si="0"/>
        <v>8.5300000000000011</v>
      </c>
      <c r="F5" s="18">
        <f t="shared" si="1"/>
        <v>6.6499999999999986</v>
      </c>
      <c r="G5" s="19">
        <f t="shared" si="2"/>
        <v>0.12187455350764398</v>
      </c>
      <c r="H5" s="19">
        <f t="shared" si="3"/>
        <v>0.11689224819827736</v>
      </c>
      <c r="I5" s="5" t="s">
        <v>34</v>
      </c>
    </row>
    <row r="6" spans="2:9" ht="18" customHeight="1" x14ac:dyDescent="0.3">
      <c r="B6" s="14">
        <v>2019</v>
      </c>
      <c r="C6" s="15">
        <v>73.83</v>
      </c>
      <c r="D6" s="15">
        <v>65.8</v>
      </c>
      <c r="E6" s="16">
        <f t="shared" si="0"/>
        <v>-4.6899999999999977</v>
      </c>
      <c r="F6" s="16">
        <f t="shared" si="1"/>
        <v>2.259999999999998</v>
      </c>
      <c r="G6" s="17">
        <f t="shared" si="2"/>
        <v>-5.9730005094243477E-2</v>
      </c>
      <c r="H6" s="17">
        <f t="shared" si="3"/>
        <v>3.5568146049732421E-2</v>
      </c>
      <c r="I6" s="8" t="s">
        <v>35</v>
      </c>
    </row>
    <row r="7" spans="2:9" ht="18" customHeight="1" x14ac:dyDescent="0.3">
      <c r="B7" s="11">
        <v>2020</v>
      </c>
      <c r="C7" s="12">
        <v>80.430000000000007</v>
      </c>
      <c r="D7" s="12">
        <v>69.87</v>
      </c>
      <c r="E7" s="18">
        <f t="shared" si="0"/>
        <v>6.6000000000000085</v>
      </c>
      <c r="F7" s="18">
        <f t="shared" si="1"/>
        <v>4.0700000000000074</v>
      </c>
      <c r="G7" s="19">
        <f t="shared" si="2"/>
        <v>8.9394555058919259E-2</v>
      </c>
      <c r="H7" s="19">
        <f t="shared" si="3"/>
        <v>6.185410334346516E-2</v>
      </c>
      <c r="I7" s="5" t="s">
        <v>36</v>
      </c>
    </row>
    <row r="8" spans="2:9" ht="18" customHeight="1" x14ac:dyDescent="0.3">
      <c r="B8" s="14">
        <v>2021</v>
      </c>
      <c r="C8" s="15">
        <v>95.41</v>
      </c>
      <c r="D8" s="15">
        <v>86.2</v>
      </c>
      <c r="E8" s="16">
        <f t="shared" si="0"/>
        <v>14.97999999999999</v>
      </c>
      <c r="F8" s="16">
        <f t="shared" si="1"/>
        <v>16.329999999999998</v>
      </c>
      <c r="G8" s="17">
        <f t="shared" si="2"/>
        <v>0.18624891209747593</v>
      </c>
      <c r="H8" s="17">
        <f t="shared" si="3"/>
        <v>0.2337197652783741</v>
      </c>
      <c r="I8" s="8" t="s">
        <v>37</v>
      </c>
    </row>
    <row r="9" spans="2:9" ht="18" customHeight="1" x14ac:dyDescent="0.3">
      <c r="B9" s="11">
        <v>2022</v>
      </c>
      <c r="C9" s="12">
        <v>95</v>
      </c>
      <c r="D9" s="12">
        <v>92</v>
      </c>
      <c r="E9" s="18">
        <f t="shared" si="0"/>
        <v>-0.40999999999999659</v>
      </c>
      <c r="F9" s="18">
        <f t="shared" si="1"/>
        <v>5.7999999999999972</v>
      </c>
      <c r="G9" s="19">
        <f t="shared" si="2"/>
        <v>-4.297243475526639E-3</v>
      </c>
      <c r="H9" s="19">
        <f t="shared" si="3"/>
        <v>6.728538283062642E-2</v>
      </c>
      <c r="I9" s="5" t="s">
        <v>38</v>
      </c>
    </row>
    <row r="10" spans="2:9" ht="18" customHeight="1" x14ac:dyDescent="0.3">
      <c r="B10" s="14">
        <v>2023</v>
      </c>
      <c r="C10" s="15">
        <v>98</v>
      </c>
      <c r="D10" s="15">
        <v>87.5</v>
      </c>
      <c r="E10" s="16">
        <f t="shared" si="0"/>
        <v>3</v>
      </c>
      <c r="F10" s="16">
        <f t="shared" si="1"/>
        <v>-4.5</v>
      </c>
      <c r="G10" s="17">
        <f t="shared" si="2"/>
        <v>3.1578947368421054E-2</v>
      </c>
      <c r="H10" s="17">
        <f t="shared" si="3"/>
        <v>-4.8913043478260872E-2</v>
      </c>
      <c r="I10" s="8" t="s">
        <v>39</v>
      </c>
    </row>
    <row r="11" spans="2:9" ht="18" customHeight="1" x14ac:dyDescent="0.3">
      <c r="B11" s="11">
        <v>2024</v>
      </c>
      <c r="C11" s="12">
        <v>94.72</v>
      </c>
      <c r="D11" s="12">
        <v>87.62</v>
      </c>
      <c r="E11" s="18">
        <f t="shared" si="0"/>
        <v>-3.2800000000000011</v>
      </c>
      <c r="F11" s="18">
        <f t="shared" si="1"/>
        <v>0.12000000000000455</v>
      </c>
      <c r="G11" s="19">
        <f t="shared" si="2"/>
        <v>-3.3469387755102054E-2</v>
      </c>
      <c r="H11" s="19">
        <f t="shared" si="3"/>
        <v>1.3714285714286234E-3</v>
      </c>
      <c r="I11" s="5" t="s">
        <v>40</v>
      </c>
    </row>
    <row r="12" spans="2:9" ht="18" customHeight="1" x14ac:dyDescent="0.3">
      <c r="B12" s="14">
        <v>2025</v>
      </c>
      <c r="C12" s="15">
        <v>95.41</v>
      </c>
      <c r="D12" s="15">
        <v>87.62</v>
      </c>
      <c r="E12" s="16">
        <f t="shared" si="0"/>
        <v>0.68999999999999773</v>
      </c>
      <c r="F12" s="16">
        <f t="shared" si="1"/>
        <v>0</v>
      </c>
      <c r="G12" s="17">
        <f t="shared" si="2"/>
        <v>7.2846283783783543E-3</v>
      </c>
      <c r="H12" s="17">
        <f t="shared" si="3"/>
        <v>0</v>
      </c>
      <c r="I12" s="8" t="s">
        <v>41</v>
      </c>
    </row>
    <row r="13" spans="2:9" ht="18" customHeight="1" x14ac:dyDescent="0.3">
      <c r="B13" s="11">
        <v>2026</v>
      </c>
      <c r="C13" s="12">
        <v>97.77</v>
      </c>
      <c r="D13" s="12">
        <v>87.62</v>
      </c>
      <c r="E13" s="18">
        <f t="shared" si="0"/>
        <v>2.3599999999999994</v>
      </c>
      <c r="F13" s="18">
        <f t="shared" si="1"/>
        <v>0</v>
      </c>
      <c r="G13" s="19">
        <f t="shared" si="2"/>
        <v>2.4735352688397438E-2</v>
      </c>
      <c r="H13" s="19">
        <f t="shared" si="3"/>
        <v>0</v>
      </c>
      <c r="I13" s="5" t="s">
        <v>42</v>
      </c>
    </row>
    <row r="14" spans="2:9" ht="4.5" customHeight="1" x14ac:dyDescent="0.3"/>
    <row r="15" spans="2:9" ht="19.5" customHeight="1" x14ac:dyDescent="0.3">
      <c r="B15" s="2" t="s">
        <v>43</v>
      </c>
      <c r="C15" s="2" t="s">
        <v>44</v>
      </c>
      <c r="D15" s="2" t="s">
        <v>45</v>
      </c>
      <c r="E15" s="2" t="s">
        <v>46</v>
      </c>
      <c r="F15" s="2" t="s">
        <v>47</v>
      </c>
      <c r="G15" s="2" t="s">
        <v>48</v>
      </c>
    </row>
    <row r="16" spans="2:9" x14ac:dyDescent="0.3">
      <c r="B16" s="20" t="s">
        <v>49</v>
      </c>
      <c r="C16" s="21">
        <f>MIN(C3:C13)</f>
        <v>64.38</v>
      </c>
      <c r="D16" s="21">
        <f>MAX(C3:C13)</f>
        <v>98</v>
      </c>
      <c r="E16" s="21">
        <f>AVERAGE(C3:C13)</f>
        <v>85.769090909090906</v>
      </c>
      <c r="F16" s="21">
        <f>C13-C3</f>
        <v>33.39</v>
      </c>
      <c r="G16" s="22">
        <f>(C13-C3)/C3</f>
        <v>0.51863932898415666</v>
      </c>
    </row>
    <row r="17" spans="2:7" x14ac:dyDescent="0.3">
      <c r="B17" s="20" t="s">
        <v>50</v>
      </c>
      <c r="C17" s="21">
        <f>MIN(D3:D13)</f>
        <v>50.19</v>
      </c>
      <c r="D17" s="21">
        <f>MAX(D3:D13)</f>
        <v>92</v>
      </c>
      <c r="E17" s="21">
        <f>AVERAGE(D3:D13)</f>
        <v>75.895454545454541</v>
      </c>
      <c r="F17" s="21">
        <f>D13-D3</f>
        <v>37.430000000000007</v>
      </c>
      <c r="G17" s="22">
        <f>(D13-D3)/D3</f>
        <v>0.74576608886232332</v>
      </c>
    </row>
    <row r="19" spans="2:7" ht="72.599999999999994" customHeight="1" x14ac:dyDescent="0.3">
      <c r="B19" s="80" t="s">
        <v>51</v>
      </c>
      <c r="C19" s="80"/>
      <c r="D19" s="80"/>
      <c r="E19" s="80"/>
      <c r="F19" s="80"/>
      <c r="G19" s="80"/>
    </row>
  </sheetData>
  <mergeCells count="2">
    <mergeCell ref="B1:H1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129"/>
  <sheetViews>
    <sheetView showGridLines="0" zoomScale="89" zoomScaleNormal="100" workbookViewId="0">
      <selection activeCell="I11" sqref="I11"/>
    </sheetView>
  </sheetViews>
  <sheetFormatPr defaultColWidth="8.6640625" defaultRowHeight="14.4" x14ac:dyDescent="0.3"/>
  <cols>
    <col min="1" max="1" width="5" customWidth="1"/>
    <col min="2" max="2" width="8" customWidth="1"/>
    <col min="3" max="3" width="14" customWidth="1"/>
    <col min="4" max="6" width="18" customWidth="1"/>
    <col min="7" max="7" width="20" customWidth="1"/>
    <col min="8" max="8" width="25.109375" bestFit="1" customWidth="1"/>
    <col min="9" max="9" width="32.21875" bestFit="1" customWidth="1"/>
  </cols>
  <sheetData>
    <row r="1" spans="3:9" ht="21.75" customHeight="1" x14ac:dyDescent="0.3">
      <c r="C1" s="1" t="s">
        <v>52</v>
      </c>
      <c r="D1" s="1"/>
      <c r="E1" s="1"/>
      <c r="F1" s="1"/>
      <c r="G1" s="1"/>
    </row>
    <row r="2" spans="3:9" ht="21.75" customHeight="1" x14ac:dyDescent="0.3">
      <c r="C2" s="23" t="s">
        <v>23</v>
      </c>
      <c r="D2" s="23" t="s">
        <v>53</v>
      </c>
      <c r="E2" s="23" t="s">
        <v>54</v>
      </c>
      <c r="F2" s="23" t="s">
        <v>55</v>
      </c>
      <c r="G2" s="23" t="s">
        <v>56</v>
      </c>
      <c r="H2" s="23" t="s">
        <v>57</v>
      </c>
    </row>
    <row r="3" spans="3:9" ht="15.75" customHeight="1" x14ac:dyDescent="0.3">
      <c r="C3" s="11">
        <v>2016</v>
      </c>
      <c r="D3" s="6" t="s">
        <v>58</v>
      </c>
      <c r="E3" s="12">
        <v>66.290000000000006</v>
      </c>
      <c r="F3" s="12">
        <v>43.91</v>
      </c>
      <c r="G3" s="24">
        <f t="shared" ref="G3:G34" si="0">E3-F3</f>
        <v>22.38000000000001</v>
      </c>
      <c r="H3" s="5"/>
    </row>
    <row r="4" spans="3:9" ht="15.75" customHeight="1" x14ac:dyDescent="0.3">
      <c r="C4" s="14">
        <v>2016</v>
      </c>
      <c r="D4" s="9" t="s">
        <v>59</v>
      </c>
      <c r="E4" s="15">
        <v>65.62</v>
      </c>
      <c r="F4" s="15">
        <v>43.87</v>
      </c>
      <c r="G4" s="25">
        <f t="shared" si="0"/>
        <v>21.750000000000007</v>
      </c>
      <c r="H4" s="8"/>
    </row>
    <row r="5" spans="3:9" ht="15.75" customHeight="1" x14ac:dyDescent="0.3">
      <c r="C5" s="11">
        <v>2016</v>
      </c>
      <c r="D5" s="6" t="s">
        <v>60</v>
      </c>
      <c r="E5" s="12">
        <v>66.290000000000006</v>
      </c>
      <c r="F5" s="12">
        <v>43.87</v>
      </c>
      <c r="G5" s="24">
        <f t="shared" si="0"/>
        <v>22.420000000000009</v>
      </c>
      <c r="H5" s="5"/>
    </row>
    <row r="6" spans="3:9" ht="15.75" customHeight="1" x14ac:dyDescent="0.3">
      <c r="C6" s="14">
        <v>2016</v>
      </c>
      <c r="D6" s="9" t="s">
        <v>61</v>
      </c>
      <c r="E6" s="15">
        <v>64.38</v>
      </c>
      <c r="F6" s="15">
        <v>43.87</v>
      </c>
      <c r="G6" s="25">
        <f t="shared" si="0"/>
        <v>20.509999999999998</v>
      </c>
      <c r="H6" s="26" t="s">
        <v>62</v>
      </c>
      <c r="I6" s="75" t="s">
        <v>299</v>
      </c>
    </row>
    <row r="7" spans="3:9" ht="15.75" customHeight="1" x14ac:dyDescent="0.3">
      <c r="C7" s="11">
        <v>2016</v>
      </c>
      <c r="D7" s="6" t="s">
        <v>63</v>
      </c>
      <c r="E7" s="12">
        <v>65.290000000000006</v>
      </c>
      <c r="F7" s="12">
        <v>44.65</v>
      </c>
      <c r="G7" s="24">
        <f t="shared" si="0"/>
        <v>20.640000000000008</v>
      </c>
      <c r="H7" s="5"/>
    </row>
    <row r="8" spans="3:9" ht="15.75" customHeight="1" x14ac:dyDescent="0.3">
      <c r="C8" s="14">
        <v>2016</v>
      </c>
      <c r="D8" s="9" t="s">
        <v>64</v>
      </c>
      <c r="E8" s="15">
        <v>66.680000000000007</v>
      </c>
      <c r="F8" s="15">
        <v>45.14</v>
      </c>
      <c r="G8" s="25">
        <f t="shared" si="0"/>
        <v>21.540000000000006</v>
      </c>
      <c r="H8" s="8"/>
      <c r="I8" s="76" t="s">
        <v>300</v>
      </c>
    </row>
    <row r="9" spans="3:9" ht="15.75" customHeight="1" x14ac:dyDescent="0.3">
      <c r="C9" s="11">
        <v>2016</v>
      </c>
      <c r="D9" s="6" t="s">
        <v>65</v>
      </c>
      <c r="E9" s="12">
        <v>67.13</v>
      </c>
      <c r="F9" s="12">
        <v>45.14</v>
      </c>
      <c r="G9" s="24">
        <f t="shared" si="0"/>
        <v>21.989999999999995</v>
      </c>
      <c r="H9" s="5"/>
      <c r="I9" s="76" t="s">
        <v>301</v>
      </c>
    </row>
    <row r="10" spans="3:9" ht="15.75" customHeight="1" x14ac:dyDescent="0.3">
      <c r="C10" s="14">
        <v>2016</v>
      </c>
      <c r="D10" s="9" t="s">
        <v>66</v>
      </c>
      <c r="E10" s="15">
        <v>67.13</v>
      </c>
      <c r="F10" s="15">
        <v>45.14</v>
      </c>
      <c r="G10" s="25">
        <f t="shared" si="0"/>
        <v>21.989999999999995</v>
      </c>
      <c r="H10" s="8"/>
    </row>
    <row r="11" spans="3:9" ht="15.75" customHeight="1" x14ac:dyDescent="0.3">
      <c r="C11" s="11">
        <v>2016</v>
      </c>
      <c r="D11" s="6" t="s">
        <v>67</v>
      </c>
      <c r="E11" s="12">
        <v>67.13</v>
      </c>
      <c r="F11" s="12">
        <v>45.14</v>
      </c>
      <c r="G11" s="24">
        <f t="shared" si="0"/>
        <v>21.989999999999995</v>
      </c>
      <c r="H11" s="5"/>
    </row>
    <row r="12" spans="3:9" ht="15.75" customHeight="1" x14ac:dyDescent="0.3">
      <c r="C12" s="14">
        <v>2016</v>
      </c>
      <c r="D12" s="9" t="s">
        <v>68</v>
      </c>
      <c r="E12" s="15">
        <v>67.97</v>
      </c>
      <c r="F12" s="15">
        <v>45.95</v>
      </c>
      <c r="G12" s="25">
        <f t="shared" si="0"/>
        <v>22.019999999999996</v>
      </c>
      <c r="H12" s="8"/>
    </row>
    <row r="13" spans="3:9" ht="15.75" customHeight="1" x14ac:dyDescent="0.3">
      <c r="C13" s="11">
        <v>2016</v>
      </c>
      <c r="D13" s="6" t="s">
        <v>69</v>
      </c>
      <c r="E13" s="12">
        <v>68.19</v>
      </c>
      <c r="F13" s="12">
        <v>46.14</v>
      </c>
      <c r="G13" s="24">
        <f t="shared" si="0"/>
        <v>22.049999999999997</v>
      </c>
      <c r="H13" s="5"/>
    </row>
    <row r="14" spans="3:9" ht="15.75" customHeight="1" x14ac:dyDescent="0.3">
      <c r="C14" s="14">
        <v>2016</v>
      </c>
      <c r="D14" s="9" t="s">
        <v>70</v>
      </c>
      <c r="E14" s="15">
        <v>67.97</v>
      </c>
      <c r="F14" s="15">
        <v>45.95</v>
      </c>
      <c r="G14" s="25">
        <f t="shared" si="0"/>
        <v>22.019999999999996</v>
      </c>
      <c r="H14" s="8"/>
    </row>
    <row r="15" spans="3:9" ht="15.75" customHeight="1" x14ac:dyDescent="0.3">
      <c r="C15" s="11">
        <v>2017</v>
      </c>
      <c r="D15" s="6" t="s">
        <v>58</v>
      </c>
      <c r="E15" s="12">
        <v>67.97</v>
      </c>
      <c r="F15" s="12">
        <v>49.71</v>
      </c>
      <c r="G15" s="24">
        <f t="shared" si="0"/>
        <v>18.259999999999998</v>
      </c>
      <c r="H15" s="5"/>
    </row>
    <row r="16" spans="3:9" ht="15.75" customHeight="1" x14ac:dyDescent="0.3">
      <c r="C16" s="14">
        <v>2017</v>
      </c>
      <c r="D16" s="9" t="s">
        <v>59</v>
      </c>
      <c r="E16" s="15">
        <v>68.66</v>
      </c>
      <c r="F16" s="15">
        <v>50.18</v>
      </c>
      <c r="G16" s="25">
        <f t="shared" si="0"/>
        <v>18.479999999999997</v>
      </c>
      <c r="H16" s="8"/>
    </row>
    <row r="17" spans="3:8" ht="15.75" customHeight="1" x14ac:dyDescent="0.3">
      <c r="C17" s="11">
        <v>2017</v>
      </c>
      <c r="D17" s="6" t="s">
        <v>60</v>
      </c>
      <c r="E17" s="12">
        <v>68.66</v>
      </c>
      <c r="F17" s="12">
        <v>50.18</v>
      </c>
      <c r="G17" s="24">
        <f t="shared" si="0"/>
        <v>18.479999999999997</v>
      </c>
      <c r="H17" s="5"/>
    </row>
    <row r="18" spans="3:8" ht="15.75" customHeight="1" x14ac:dyDescent="0.3">
      <c r="C18" s="14">
        <v>2017</v>
      </c>
      <c r="D18" s="9" t="s">
        <v>61</v>
      </c>
      <c r="E18" s="15">
        <v>68.81</v>
      </c>
      <c r="F18" s="15">
        <v>50.32</v>
      </c>
      <c r="G18" s="25">
        <f t="shared" si="0"/>
        <v>18.490000000000002</v>
      </c>
      <c r="H18" s="8"/>
    </row>
    <row r="19" spans="3:8" ht="15.75" customHeight="1" x14ac:dyDescent="0.3">
      <c r="C19" s="11">
        <v>2017</v>
      </c>
      <c r="D19" s="6" t="s">
        <v>63</v>
      </c>
      <c r="E19" s="12">
        <v>68.61</v>
      </c>
      <c r="F19" s="12">
        <v>50.17</v>
      </c>
      <c r="G19" s="24">
        <f t="shared" si="0"/>
        <v>18.439999999999998</v>
      </c>
      <c r="H19" s="5"/>
    </row>
    <row r="20" spans="3:8" ht="15.75" customHeight="1" x14ac:dyDescent="0.3">
      <c r="C20" s="14">
        <v>2017</v>
      </c>
      <c r="D20" s="9" t="s">
        <v>64</v>
      </c>
      <c r="E20" s="15">
        <v>67.22</v>
      </c>
      <c r="F20" s="15">
        <v>49.46</v>
      </c>
      <c r="G20" s="25">
        <f t="shared" si="0"/>
        <v>17.759999999999998</v>
      </c>
      <c r="H20" s="26" t="s">
        <v>71</v>
      </c>
    </row>
    <row r="21" spans="3:8" ht="15.75" customHeight="1" x14ac:dyDescent="0.3">
      <c r="C21" s="11">
        <v>2017</v>
      </c>
      <c r="D21" s="6" t="s">
        <v>65</v>
      </c>
      <c r="E21" s="12">
        <v>67.22</v>
      </c>
      <c r="F21" s="12">
        <v>49.46</v>
      </c>
      <c r="G21" s="24">
        <f t="shared" si="0"/>
        <v>17.759999999999998</v>
      </c>
      <c r="H21" s="5"/>
    </row>
    <row r="22" spans="3:8" ht="15.75" customHeight="1" x14ac:dyDescent="0.3">
      <c r="C22" s="14">
        <v>2017</v>
      </c>
      <c r="D22" s="9" t="s">
        <v>66</v>
      </c>
      <c r="E22" s="15">
        <v>70.09</v>
      </c>
      <c r="F22" s="15">
        <v>52</v>
      </c>
      <c r="G22" s="25">
        <f t="shared" si="0"/>
        <v>18.090000000000003</v>
      </c>
      <c r="H22" s="8"/>
    </row>
    <row r="23" spans="3:8" ht="15.75" customHeight="1" x14ac:dyDescent="0.3">
      <c r="C23" s="11">
        <v>2017</v>
      </c>
      <c r="D23" s="6" t="s">
        <v>67</v>
      </c>
      <c r="E23" s="12">
        <v>70.09</v>
      </c>
      <c r="F23" s="12">
        <v>52</v>
      </c>
      <c r="G23" s="24">
        <f t="shared" si="0"/>
        <v>18.090000000000003</v>
      </c>
      <c r="H23" s="5"/>
    </row>
    <row r="24" spans="3:8" ht="15.75" customHeight="1" x14ac:dyDescent="0.3">
      <c r="C24" s="14">
        <v>2017</v>
      </c>
      <c r="D24" s="9" t="s">
        <v>68</v>
      </c>
      <c r="E24" s="15">
        <v>70.09</v>
      </c>
      <c r="F24" s="15">
        <v>52</v>
      </c>
      <c r="G24" s="25">
        <f t="shared" si="0"/>
        <v>18.090000000000003</v>
      </c>
      <c r="H24" s="8"/>
    </row>
    <row r="25" spans="3:8" ht="15.75" customHeight="1" x14ac:dyDescent="0.3">
      <c r="C25" s="11">
        <v>2017</v>
      </c>
      <c r="D25" s="6" t="s">
        <v>69</v>
      </c>
      <c r="E25" s="12">
        <v>68.37</v>
      </c>
      <c r="F25" s="12">
        <v>50.33</v>
      </c>
      <c r="G25" s="24">
        <f t="shared" si="0"/>
        <v>18.040000000000006</v>
      </c>
      <c r="H25" s="5"/>
    </row>
    <row r="26" spans="3:8" ht="15.75" customHeight="1" x14ac:dyDescent="0.3">
      <c r="C26" s="14">
        <v>2017</v>
      </c>
      <c r="D26" s="9" t="s">
        <v>70</v>
      </c>
      <c r="E26" s="15">
        <v>68.37</v>
      </c>
      <c r="F26" s="15">
        <v>50.33</v>
      </c>
      <c r="G26" s="25">
        <f t="shared" si="0"/>
        <v>18.040000000000006</v>
      </c>
      <c r="H26" s="8"/>
    </row>
    <row r="27" spans="3:8" ht="15.75" customHeight="1" x14ac:dyDescent="0.3">
      <c r="C27" s="11">
        <v>2018</v>
      </c>
      <c r="D27" s="6" t="s">
        <v>58</v>
      </c>
      <c r="E27" s="12">
        <v>72.38</v>
      </c>
      <c r="F27" s="12">
        <v>60.99</v>
      </c>
      <c r="G27" s="24">
        <f t="shared" si="0"/>
        <v>11.389999999999993</v>
      </c>
      <c r="H27" s="5"/>
    </row>
    <row r="28" spans="3:8" ht="15.75" customHeight="1" x14ac:dyDescent="0.3">
      <c r="C28" s="14">
        <v>2018</v>
      </c>
      <c r="D28" s="9" t="s">
        <v>59</v>
      </c>
      <c r="E28" s="15">
        <v>73.73</v>
      </c>
      <c r="F28" s="15">
        <v>63.06</v>
      </c>
      <c r="G28" s="25">
        <f t="shared" si="0"/>
        <v>10.670000000000002</v>
      </c>
      <c r="H28" s="8"/>
    </row>
    <row r="29" spans="3:8" ht="15.75" customHeight="1" x14ac:dyDescent="0.3">
      <c r="C29" s="11">
        <v>2018</v>
      </c>
      <c r="D29" s="6" t="s">
        <v>60</v>
      </c>
      <c r="E29" s="12">
        <v>74.62</v>
      </c>
      <c r="F29" s="12">
        <v>64.209999999999994</v>
      </c>
      <c r="G29" s="24">
        <f t="shared" si="0"/>
        <v>10.410000000000011</v>
      </c>
      <c r="H29" s="5"/>
    </row>
    <row r="30" spans="3:8" ht="15.75" customHeight="1" x14ac:dyDescent="0.3">
      <c r="C30" s="14">
        <v>2018</v>
      </c>
      <c r="D30" s="9" t="s">
        <v>61</v>
      </c>
      <c r="E30" s="15">
        <v>74.63</v>
      </c>
      <c r="F30" s="15">
        <v>64.22</v>
      </c>
      <c r="G30" s="25">
        <f t="shared" si="0"/>
        <v>10.409999999999997</v>
      </c>
      <c r="H30" s="8"/>
    </row>
    <row r="31" spans="3:8" ht="15.75" customHeight="1" x14ac:dyDescent="0.3">
      <c r="C31" s="11">
        <v>2018</v>
      </c>
      <c r="D31" s="6" t="s">
        <v>63</v>
      </c>
      <c r="E31" s="12">
        <v>76.239999999999995</v>
      </c>
      <c r="F31" s="12">
        <v>65.94</v>
      </c>
      <c r="G31" s="24">
        <f t="shared" si="0"/>
        <v>10.299999999999997</v>
      </c>
      <c r="H31" s="5"/>
    </row>
    <row r="32" spans="3:8" ht="15.75" customHeight="1" x14ac:dyDescent="0.3">
      <c r="C32" s="14">
        <v>2018</v>
      </c>
      <c r="D32" s="9" t="s">
        <v>64</v>
      </c>
      <c r="E32" s="15">
        <v>78.430000000000007</v>
      </c>
      <c r="F32" s="15">
        <v>68.08</v>
      </c>
      <c r="G32" s="25">
        <f t="shared" si="0"/>
        <v>10.350000000000009</v>
      </c>
      <c r="H32" s="8"/>
    </row>
    <row r="33" spans="3:8" ht="15.75" customHeight="1" x14ac:dyDescent="0.3">
      <c r="C33" s="11">
        <v>2018</v>
      </c>
      <c r="D33" s="6" t="s">
        <v>65</v>
      </c>
      <c r="E33" s="12">
        <v>80.87</v>
      </c>
      <c r="F33" s="12">
        <v>72.510000000000005</v>
      </c>
      <c r="G33" s="24">
        <f t="shared" si="0"/>
        <v>8.36</v>
      </c>
      <c r="H33" s="5"/>
    </row>
    <row r="34" spans="3:8" ht="15.75" customHeight="1" x14ac:dyDescent="0.3">
      <c r="C34" s="14">
        <v>2018</v>
      </c>
      <c r="D34" s="9" t="s">
        <v>66</v>
      </c>
      <c r="E34" s="15">
        <v>80.11</v>
      </c>
      <c r="F34" s="15">
        <v>71.180000000000007</v>
      </c>
      <c r="G34" s="25">
        <f t="shared" si="0"/>
        <v>8.9299999999999926</v>
      </c>
      <c r="H34" s="8"/>
    </row>
    <row r="35" spans="3:8" ht="15.75" customHeight="1" x14ac:dyDescent="0.3">
      <c r="C35" s="11">
        <v>2018</v>
      </c>
      <c r="D35" s="6" t="s">
        <v>67</v>
      </c>
      <c r="E35" s="12">
        <v>82.72</v>
      </c>
      <c r="F35" s="12">
        <v>75.69</v>
      </c>
      <c r="G35" s="24">
        <f t="shared" ref="G35:G66" si="1">E35-F35</f>
        <v>7.0300000000000011</v>
      </c>
      <c r="H35" s="5"/>
    </row>
    <row r="36" spans="3:8" ht="15.75" customHeight="1" x14ac:dyDescent="0.3">
      <c r="C36" s="14">
        <v>2018</v>
      </c>
      <c r="D36" s="9" t="s">
        <v>68</v>
      </c>
      <c r="E36" s="15">
        <v>84</v>
      </c>
      <c r="F36" s="15">
        <v>75.69</v>
      </c>
      <c r="G36" s="25">
        <f t="shared" si="1"/>
        <v>8.3100000000000023</v>
      </c>
      <c r="H36" s="26" t="s">
        <v>72</v>
      </c>
    </row>
    <row r="37" spans="3:8" ht="15.75" customHeight="1" x14ac:dyDescent="0.3">
      <c r="C37" s="11">
        <v>2018</v>
      </c>
      <c r="D37" s="6" t="s">
        <v>69</v>
      </c>
      <c r="E37" s="12">
        <v>78.33</v>
      </c>
      <c r="F37" s="12">
        <v>68.489999999999995</v>
      </c>
      <c r="G37" s="24">
        <f t="shared" si="1"/>
        <v>9.8400000000000034</v>
      </c>
      <c r="H37" s="5"/>
    </row>
    <row r="38" spans="3:8" ht="15.75" customHeight="1" x14ac:dyDescent="0.3">
      <c r="C38" s="14">
        <v>2018</v>
      </c>
      <c r="D38" s="9" t="s">
        <v>70</v>
      </c>
      <c r="E38" s="15">
        <v>75.599999999999994</v>
      </c>
      <c r="F38" s="15">
        <v>65.930000000000007</v>
      </c>
      <c r="G38" s="25">
        <f t="shared" si="1"/>
        <v>9.6699999999999875</v>
      </c>
      <c r="H38" s="8"/>
    </row>
    <row r="39" spans="3:8" ht="15.75" customHeight="1" x14ac:dyDescent="0.3">
      <c r="C39" s="11">
        <v>2019</v>
      </c>
      <c r="D39" s="6" t="s">
        <v>58</v>
      </c>
      <c r="E39" s="12">
        <v>76.180000000000007</v>
      </c>
      <c r="F39" s="12">
        <v>67.37</v>
      </c>
      <c r="G39" s="24">
        <f t="shared" si="1"/>
        <v>8.8100000000000023</v>
      </c>
      <c r="H39" s="5"/>
    </row>
    <row r="40" spans="3:8" ht="15.75" customHeight="1" x14ac:dyDescent="0.3">
      <c r="C40" s="14">
        <v>2019</v>
      </c>
      <c r="D40" s="9" t="s">
        <v>59</v>
      </c>
      <c r="E40" s="15">
        <v>75.400000000000006</v>
      </c>
      <c r="F40" s="15">
        <v>66.86</v>
      </c>
      <c r="G40" s="25">
        <f t="shared" si="1"/>
        <v>8.5400000000000063</v>
      </c>
      <c r="H40" s="8"/>
    </row>
    <row r="41" spans="3:8" ht="15.75" customHeight="1" x14ac:dyDescent="0.3">
      <c r="C41" s="11">
        <v>2019</v>
      </c>
      <c r="D41" s="6" t="s">
        <v>60</v>
      </c>
      <c r="E41" s="12">
        <v>74.13</v>
      </c>
      <c r="F41" s="12">
        <v>66.069999999999993</v>
      </c>
      <c r="G41" s="24">
        <f t="shared" si="1"/>
        <v>8.0600000000000023</v>
      </c>
      <c r="H41" s="5"/>
    </row>
    <row r="42" spans="3:8" ht="15.75" customHeight="1" x14ac:dyDescent="0.3">
      <c r="C42" s="14">
        <v>2019</v>
      </c>
      <c r="D42" s="9" t="s">
        <v>61</v>
      </c>
      <c r="E42" s="15">
        <v>74.11</v>
      </c>
      <c r="F42" s="15">
        <v>66.069999999999993</v>
      </c>
      <c r="G42" s="25">
        <f t="shared" si="1"/>
        <v>8.0400000000000063</v>
      </c>
      <c r="H42" s="8"/>
    </row>
    <row r="43" spans="3:8" ht="15.75" customHeight="1" x14ac:dyDescent="0.3">
      <c r="C43" s="11">
        <v>2019</v>
      </c>
      <c r="D43" s="6" t="s">
        <v>63</v>
      </c>
      <c r="E43" s="12">
        <v>73.819999999999993</v>
      </c>
      <c r="F43" s="12">
        <v>65.86</v>
      </c>
      <c r="G43" s="24">
        <f t="shared" si="1"/>
        <v>7.9599999999999937</v>
      </c>
      <c r="H43" s="5"/>
    </row>
    <row r="44" spans="3:8" ht="15.75" customHeight="1" x14ac:dyDescent="0.3">
      <c r="C44" s="14">
        <v>2019</v>
      </c>
      <c r="D44" s="9" t="s">
        <v>64</v>
      </c>
      <c r="E44" s="15">
        <v>73.86</v>
      </c>
      <c r="F44" s="15">
        <v>64.73</v>
      </c>
      <c r="G44" s="25">
        <f t="shared" si="1"/>
        <v>9.1299999999999955</v>
      </c>
      <c r="H44" s="8"/>
    </row>
    <row r="45" spans="3:8" ht="15.75" customHeight="1" x14ac:dyDescent="0.3">
      <c r="C45" s="11">
        <v>2019</v>
      </c>
      <c r="D45" s="6" t="s">
        <v>65</v>
      </c>
      <c r="E45" s="12">
        <v>72.290000000000006</v>
      </c>
      <c r="F45" s="12">
        <v>63.67</v>
      </c>
      <c r="G45" s="24">
        <f t="shared" si="1"/>
        <v>8.6200000000000045</v>
      </c>
      <c r="H45" s="5"/>
    </row>
    <row r="46" spans="3:8" ht="15.75" customHeight="1" x14ac:dyDescent="0.3">
      <c r="C46" s="14">
        <v>2019</v>
      </c>
      <c r="D46" s="9" t="s">
        <v>66</v>
      </c>
      <c r="E46" s="15">
        <v>72.290000000000006</v>
      </c>
      <c r="F46" s="15">
        <v>63.67</v>
      </c>
      <c r="G46" s="25">
        <f t="shared" si="1"/>
        <v>8.6200000000000045</v>
      </c>
      <c r="H46" s="8"/>
    </row>
    <row r="47" spans="3:8" ht="15.75" customHeight="1" x14ac:dyDescent="0.3">
      <c r="C47" s="11">
        <v>2019</v>
      </c>
      <c r="D47" s="6" t="s">
        <v>67</v>
      </c>
      <c r="E47" s="12">
        <v>75.02</v>
      </c>
      <c r="F47" s="12">
        <v>66.09</v>
      </c>
      <c r="G47" s="24">
        <f t="shared" si="1"/>
        <v>8.9299999999999926</v>
      </c>
      <c r="H47" s="5"/>
    </row>
    <row r="48" spans="3:8" ht="15.75" customHeight="1" x14ac:dyDescent="0.3">
      <c r="C48" s="14">
        <v>2019</v>
      </c>
      <c r="D48" s="9" t="s">
        <v>68</v>
      </c>
      <c r="E48" s="15">
        <v>75.02</v>
      </c>
      <c r="F48" s="15">
        <v>66.09</v>
      </c>
      <c r="G48" s="25">
        <f t="shared" si="1"/>
        <v>8.9299999999999926</v>
      </c>
      <c r="H48" s="8"/>
    </row>
    <row r="49" spans="3:8" ht="15.75" customHeight="1" x14ac:dyDescent="0.3">
      <c r="C49" s="11">
        <v>2019</v>
      </c>
      <c r="D49" s="6" t="s">
        <v>69</v>
      </c>
      <c r="E49" s="12">
        <v>73.31</v>
      </c>
      <c r="F49" s="12">
        <v>64.48</v>
      </c>
      <c r="G49" s="24">
        <f t="shared" si="1"/>
        <v>8.8299999999999983</v>
      </c>
      <c r="H49" s="5"/>
    </row>
    <row r="50" spans="3:8" ht="15.75" customHeight="1" x14ac:dyDescent="0.3">
      <c r="C50" s="14">
        <v>2019</v>
      </c>
      <c r="D50" s="9" t="s">
        <v>70</v>
      </c>
      <c r="E50" s="15">
        <v>73.31</v>
      </c>
      <c r="F50" s="15">
        <v>64.430000000000007</v>
      </c>
      <c r="G50" s="25">
        <f t="shared" si="1"/>
        <v>8.8799999999999955</v>
      </c>
      <c r="H50" s="8"/>
    </row>
    <row r="51" spans="3:8" ht="15.75" customHeight="1" x14ac:dyDescent="0.3">
      <c r="C51" s="11">
        <v>2020</v>
      </c>
      <c r="D51" s="6" t="s">
        <v>58</v>
      </c>
      <c r="E51" s="12">
        <v>75.14</v>
      </c>
      <c r="F51" s="12">
        <v>67.959999999999994</v>
      </c>
      <c r="G51" s="24">
        <f t="shared" si="1"/>
        <v>7.1800000000000068</v>
      </c>
      <c r="H51" s="5"/>
    </row>
    <row r="52" spans="3:8" ht="15.75" customHeight="1" x14ac:dyDescent="0.3">
      <c r="C52" s="14">
        <v>2020</v>
      </c>
      <c r="D52" s="9" t="s">
        <v>59</v>
      </c>
      <c r="E52" s="15">
        <v>73.19</v>
      </c>
      <c r="F52" s="15">
        <v>65.760000000000005</v>
      </c>
      <c r="G52" s="25">
        <f t="shared" si="1"/>
        <v>7.4299999999999926</v>
      </c>
      <c r="H52" s="8"/>
    </row>
    <row r="53" spans="3:8" ht="15.75" customHeight="1" x14ac:dyDescent="0.3">
      <c r="C53" s="11">
        <v>2020</v>
      </c>
      <c r="D53" s="6" t="s">
        <v>60</v>
      </c>
      <c r="E53" s="12">
        <v>71.489999999999995</v>
      </c>
      <c r="F53" s="12">
        <v>64.400000000000006</v>
      </c>
      <c r="G53" s="24">
        <f t="shared" si="1"/>
        <v>7.0899999999999892</v>
      </c>
      <c r="H53" s="5"/>
    </row>
    <row r="54" spans="3:8" ht="15.75" customHeight="1" x14ac:dyDescent="0.3">
      <c r="C54" s="14">
        <v>2020</v>
      </c>
      <c r="D54" s="9" t="s">
        <v>61</v>
      </c>
      <c r="E54" s="15">
        <v>69.59</v>
      </c>
      <c r="F54" s="15">
        <v>62.29</v>
      </c>
      <c r="G54" s="25">
        <f t="shared" si="1"/>
        <v>7.3000000000000043</v>
      </c>
      <c r="H54" s="8"/>
    </row>
    <row r="55" spans="3:8" ht="15.75" customHeight="1" x14ac:dyDescent="0.3">
      <c r="C55" s="11">
        <v>2020</v>
      </c>
      <c r="D55" s="6" t="s">
        <v>63</v>
      </c>
      <c r="E55" s="12">
        <v>69.59</v>
      </c>
      <c r="F55" s="12">
        <v>62.29</v>
      </c>
      <c r="G55" s="24">
        <f t="shared" si="1"/>
        <v>7.3000000000000043</v>
      </c>
      <c r="H55" s="27" t="s">
        <v>73</v>
      </c>
    </row>
    <row r="56" spans="3:8" ht="15.75" customHeight="1" x14ac:dyDescent="0.3">
      <c r="C56" s="14">
        <v>2020</v>
      </c>
      <c r="D56" s="9" t="s">
        <v>64</v>
      </c>
      <c r="E56" s="15">
        <v>71.260000000000005</v>
      </c>
      <c r="F56" s="15">
        <v>63.23</v>
      </c>
      <c r="G56" s="25">
        <f t="shared" si="1"/>
        <v>8.0300000000000082</v>
      </c>
      <c r="H56" s="8"/>
    </row>
    <row r="57" spans="3:8" ht="15.75" customHeight="1" x14ac:dyDescent="0.3">
      <c r="C57" s="11">
        <v>2020</v>
      </c>
      <c r="D57" s="6" t="s">
        <v>65</v>
      </c>
      <c r="E57" s="12">
        <v>80.430000000000007</v>
      </c>
      <c r="F57" s="12">
        <v>71.39</v>
      </c>
      <c r="G57" s="24">
        <f t="shared" si="1"/>
        <v>9.0400000000000063</v>
      </c>
      <c r="H57" s="5"/>
    </row>
    <row r="58" spans="3:8" ht="15.75" customHeight="1" x14ac:dyDescent="0.3">
      <c r="C58" s="14">
        <v>2020</v>
      </c>
      <c r="D58" s="9" t="s">
        <v>66</v>
      </c>
      <c r="E58" s="15">
        <v>80.430000000000007</v>
      </c>
      <c r="F58" s="15">
        <v>71.39</v>
      </c>
      <c r="G58" s="25">
        <f t="shared" si="1"/>
        <v>9.0400000000000063</v>
      </c>
      <c r="H58" s="8"/>
    </row>
    <row r="59" spans="3:8" ht="15.75" customHeight="1" x14ac:dyDescent="0.3">
      <c r="C59" s="11">
        <v>2020</v>
      </c>
      <c r="D59" s="6" t="s">
        <v>67</v>
      </c>
      <c r="E59" s="12">
        <v>82.08</v>
      </c>
      <c r="F59" s="12">
        <v>72.680000000000007</v>
      </c>
      <c r="G59" s="24">
        <f t="shared" si="1"/>
        <v>9.3999999999999915</v>
      </c>
      <c r="H59" s="5"/>
    </row>
    <row r="60" spans="3:8" ht="15.75" customHeight="1" x14ac:dyDescent="0.3">
      <c r="C60" s="14">
        <v>2020</v>
      </c>
      <c r="D60" s="9" t="s">
        <v>68</v>
      </c>
      <c r="E60" s="15">
        <v>81.06</v>
      </c>
      <c r="F60" s="15">
        <v>71.94</v>
      </c>
      <c r="G60" s="25">
        <f t="shared" si="1"/>
        <v>9.1200000000000045</v>
      </c>
      <c r="H60" s="8"/>
    </row>
    <row r="61" spans="3:8" ht="15.75" customHeight="1" x14ac:dyDescent="0.3">
      <c r="C61" s="11">
        <v>2020</v>
      </c>
      <c r="D61" s="6" t="s">
        <v>69</v>
      </c>
      <c r="E61" s="12">
        <v>81.06</v>
      </c>
      <c r="F61" s="12">
        <v>71.94</v>
      </c>
      <c r="G61" s="24">
        <f t="shared" si="1"/>
        <v>9.1200000000000045</v>
      </c>
      <c r="H61" s="5"/>
    </row>
    <row r="62" spans="3:8" ht="15.75" customHeight="1" x14ac:dyDescent="0.3">
      <c r="C62" s="14">
        <v>2020</v>
      </c>
      <c r="D62" s="9" t="s">
        <v>70</v>
      </c>
      <c r="E62" s="15">
        <v>82.34</v>
      </c>
      <c r="F62" s="15">
        <v>73.13</v>
      </c>
      <c r="G62" s="25">
        <f t="shared" si="1"/>
        <v>9.210000000000008</v>
      </c>
      <c r="H62" s="8"/>
    </row>
    <row r="63" spans="3:8" ht="15.75" customHeight="1" x14ac:dyDescent="0.3">
      <c r="C63" s="11">
        <v>2021</v>
      </c>
      <c r="D63" s="6" t="s">
        <v>58</v>
      </c>
      <c r="E63" s="12">
        <v>83.71</v>
      </c>
      <c r="F63" s="12">
        <v>74.12</v>
      </c>
      <c r="G63" s="24">
        <f t="shared" si="1"/>
        <v>9.5899999999999892</v>
      </c>
      <c r="H63" s="5"/>
    </row>
    <row r="64" spans="3:8" ht="15.75" customHeight="1" x14ac:dyDescent="0.3">
      <c r="C64" s="14">
        <v>2021</v>
      </c>
      <c r="D64" s="9" t="s">
        <v>59</v>
      </c>
      <c r="E64" s="15">
        <v>86.3</v>
      </c>
      <c r="F64" s="15">
        <v>76.48</v>
      </c>
      <c r="G64" s="25">
        <f t="shared" si="1"/>
        <v>9.8199999999999932</v>
      </c>
      <c r="H64" s="8"/>
    </row>
    <row r="65" spans="3:8" ht="15.75" customHeight="1" x14ac:dyDescent="0.3">
      <c r="C65" s="11">
        <v>2021</v>
      </c>
      <c r="D65" s="6" t="s">
        <v>60</v>
      </c>
      <c r="E65" s="12">
        <v>91.17</v>
      </c>
      <c r="F65" s="12">
        <v>81.47</v>
      </c>
      <c r="G65" s="24">
        <f t="shared" si="1"/>
        <v>9.7000000000000028</v>
      </c>
      <c r="H65" s="5"/>
    </row>
    <row r="66" spans="3:8" ht="15.75" customHeight="1" x14ac:dyDescent="0.3">
      <c r="C66" s="14">
        <v>2021</v>
      </c>
      <c r="D66" s="9" t="s">
        <v>61</v>
      </c>
      <c r="E66" s="15">
        <v>91.17</v>
      </c>
      <c r="F66" s="15">
        <v>81.47</v>
      </c>
      <c r="G66" s="25">
        <f t="shared" si="1"/>
        <v>9.7000000000000028</v>
      </c>
      <c r="H66" s="8"/>
    </row>
    <row r="67" spans="3:8" ht="15.75" customHeight="1" x14ac:dyDescent="0.3">
      <c r="C67" s="11">
        <v>2021</v>
      </c>
      <c r="D67" s="6" t="s">
        <v>63</v>
      </c>
      <c r="E67" s="12">
        <v>93.94</v>
      </c>
      <c r="F67" s="12">
        <v>84.66</v>
      </c>
      <c r="G67" s="24">
        <f t="shared" ref="G67:G98" si="2">E67-F67</f>
        <v>9.2800000000000011</v>
      </c>
      <c r="H67" s="5"/>
    </row>
    <row r="68" spans="3:8" ht="15.75" customHeight="1" x14ac:dyDescent="0.3">
      <c r="C68" s="14">
        <v>2021</v>
      </c>
      <c r="D68" s="9" t="s">
        <v>64</v>
      </c>
      <c r="E68" s="15">
        <v>96.41</v>
      </c>
      <c r="F68" s="15">
        <v>87.29</v>
      </c>
      <c r="G68" s="25">
        <f t="shared" si="2"/>
        <v>9.1199999999999903</v>
      </c>
      <c r="H68" s="8"/>
    </row>
    <row r="69" spans="3:8" ht="15.75" customHeight="1" x14ac:dyDescent="0.3">
      <c r="C69" s="11">
        <v>2021</v>
      </c>
      <c r="D69" s="6" t="s">
        <v>65</v>
      </c>
      <c r="E69" s="12">
        <v>101.19</v>
      </c>
      <c r="F69" s="12">
        <v>88.62</v>
      </c>
      <c r="G69" s="24">
        <f t="shared" si="2"/>
        <v>12.569999999999993</v>
      </c>
      <c r="H69" s="5"/>
    </row>
    <row r="70" spans="3:8" ht="15.75" customHeight="1" x14ac:dyDescent="0.3">
      <c r="C70" s="14">
        <v>2021</v>
      </c>
      <c r="D70" s="9" t="s">
        <v>66</v>
      </c>
      <c r="E70" s="15">
        <v>101.19</v>
      </c>
      <c r="F70" s="15">
        <v>88.62</v>
      </c>
      <c r="G70" s="25">
        <f t="shared" si="2"/>
        <v>12.569999999999993</v>
      </c>
      <c r="H70" s="8"/>
    </row>
    <row r="71" spans="3:8" ht="15.75" customHeight="1" x14ac:dyDescent="0.3">
      <c r="C71" s="11">
        <v>2021</v>
      </c>
      <c r="D71" s="6" t="s">
        <v>67</v>
      </c>
      <c r="E71" s="12">
        <v>101.19</v>
      </c>
      <c r="F71" s="12">
        <v>88.62</v>
      </c>
      <c r="G71" s="24">
        <f t="shared" si="2"/>
        <v>12.569999999999993</v>
      </c>
      <c r="H71" s="5"/>
    </row>
    <row r="72" spans="3:8" ht="15.75" customHeight="1" x14ac:dyDescent="0.3">
      <c r="C72" s="14">
        <v>2021</v>
      </c>
      <c r="D72" s="9" t="s">
        <v>68</v>
      </c>
      <c r="E72" s="15">
        <v>101.89</v>
      </c>
      <c r="F72" s="15">
        <v>90.17</v>
      </c>
      <c r="G72" s="25">
        <f t="shared" si="2"/>
        <v>11.719999999999999</v>
      </c>
      <c r="H72" s="8"/>
    </row>
    <row r="73" spans="3:8" ht="15.75" customHeight="1" x14ac:dyDescent="0.3">
      <c r="C73" s="65">
        <v>2021</v>
      </c>
      <c r="D73" s="66" t="s">
        <v>69</v>
      </c>
      <c r="E73" s="67">
        <v>110.04</v>
      </c>
      <c r="F73" s="67">
        <v>92.23</v>
      </c>
      <c r="G73" s="68">
        <f t="shared" si="2"/>
        <v>17.810000000000002</v>
      </c>
      <c r="H73" s="69" t="s">
        <v>74</v>
      </c>
    </row>
    <row r="74" spans="3:8" ht="15.75" customHeight="1" x14ac:dyDescent="0.3">
      <c r="C74" s="14">
        <v>2021</v>
      </c>
      <c r="D74" s="9" t="s">
        <v>70</v>
      </c>
      <c r="E74" s="15">
        <v>95.41</v>
      </c>
      <c r="F74" s="15">
        <v>86.67</v>
      </c>
      <c r="G74" s="25">
        <f t="shared" si="2"/>
        <v>8.7399999999999949</v>
      </c>
      <c r="H74" s="26" t="s">
        <v>75</v>
      </c>
    </row>
    <row r="75" spans="3:8" ht="15.75" customHeight="1" x14ac:dyDescent="0.3">
      <c r="C75" s="11">
        <v>2022</v>
      </c>
      <c r="D75" s="6" t="s">
        <v>58</v>
      </c>
      <c r="E75" s="12">
        <v>95.41</v>
      </c>
      <c r="F75" s="12">
        <v>86.67</v>
      </c>
      <c r="G75" s="24">
        <f t="shared" si="2"/>
        <v>8.7399999999999949</v>
      </c>
      <c r="H75" s="5"/>
    </row>
    <row r="76" spans="3:8" ht="15.75" customHeight="1" x14ac:dyDescent="0.3">
      <c r="C76" s="14">
        <v>2022</v>
      </c>
      <c r="D76" s="9" t="s">
        <v>59</v>
      </c>
      <c r="E76" s="15">
        <v>95.41</v>
      </c>
      <c r="F76" s="15">
        <v>86.67</v>
      </c>
      <c r="G76" s="25">
        <f t="shared" si="2"/>
        <v>8.7399999999999949</v>
      </c>
      <c r="H76" s="8"/>
    </row>
    <row r="77" spans="3:8" ht="15.75" customHeight="1" x14ac:dyDescent="0.3">
      <c r="C77" s="11">
        <v>2022</v>
      </c>
      <c r="D77" s="6" t="s">
        <v>60</v>
      </c>
      <c r="E77" s="12">
        <v>95.41</v>
      </c>
      <c r="F77" s="12">
        <v>86.67</v>
      </c>
      <c r="G77" s="24">
        <f t="shared" si="2"/>
        <v>8.7399999999999949</v>
      </c>
      <c r="H77" s="5"/>
    </row>
    <row r="78" spans="3:8" ht="15.75" customHeight="1" x14ac:dyDescent="0.3">
      <c r="C78" s="70">
        <v>2022</v>
      </c>
      <c r="D78" s="71" t="s">
        <v>61</v>
      </c>
      <c r="E78" s="72">
        <v>105.41</v>
      </c>
      <c r="F78" s="72">
        <v>96.67</v>
      </c>
      <c r="G78" s="73">
        <f t="shared" si="2"/>
        <v>8.7399999999999949</v>
      </c>
      <c r="H78" s="74" t="s">
        <v>76</v>
      </c>
    </row>
    <row r="79" spans="3:8" ht="15.75" customHeight="1" x14ac:dyDescent="0.3">
      <c r="C79" s="11">
        <v>2022</v>
      </c>
      <c r="D79" s="6" t="s">
        <v>63</v>
      </c>
      <c r="E79" s="12">
        <v>105.41</v>
      </c>
      <c r="F79" s="12">
        <v>96.67</v>
      </c>
      <c r="G79" s="24">
        <f t="shared" si="2"/>
        <v>8.7399999999999949</v>
      </c>
      <c r="H79" s="5"/>
    </row>
    <row r="80" spans="3:8" ht="15.75" customHeight="1" x14ac:dyDescent="0.3">
      <c r="C80" s="70">
        <v>2022</v>
      </c>
      <c r="D80" s="71" t="s">
        <v>64</v>
      </c>
      <c r="E80" s="72">
        <v>96.72</v>
      </c>
      <c r="F80" s="72">
        <v>89.62</v>
      </c>
      <c r="G80" s="73">
        <f t="shared" si="2"/>
        <v>7.0999999999999943</v>
      </c>
      <c r="H80" s="74" t="s">
        <v>77</v>
      </c>
    </row>
    <row r="81" spans="3:8" ht="15.75" customHeight="1" x14ac:dyDescent="0.3">
      <c r="C81" s="11">
        <v>2022</v>
      </c>
      <c r="D81" s="6" t="s">
        <v>65</v>
      </c>
      <c r="E81" s="12">
        <v>96.72</v>
      </c>
      <c r="F81" s="12">
        <v>89.62</v>
      </c>
      <c r="G81" s="24">
        <f t="shared" si="2"/>
        <v>7.0999999999999943</v>
      </c>
      <c r="H81" s="5"/>
    </row>
    <row r="82" spans="3:8" ht="15.75" customHeight="1" x14ac:dyDescent="0.3">
      <c r="C82" s="14">
        <v>2022</v>
      </c>
      <c r="D82" s="9" t="s">
        <v>66</v>
      </c>
      <c r="E82" s="15">
        <v>96.72</v>
      </c>
      <c r="F82" s="15">
        <v>89.62</v>
      </c>
      <c r="G82" s="25">
        <f t="shared" si="2"/>
        <v>7.0999999999999943</v>
      </c>
      <c r="H82" s="8"/>
    </row>
    <row r="83" spans="3:8" ht="15.75" customHeight="1" x14ac:dyDescent="0.3">
      <c r="C83" s="11">
        <v>2022</v>
      </c>
      <c r="D83" s="6" t="s">
        <v>67</v>
      </c>
      <c r="E83" s="12">
        <v>96.72</v>
      </c>
      <c r="F83" s="12">
        <v>89.62</v>
      </c>
      <c r="G83" s="24">
        <f t="shared" si="2"/>
        <v>7.0999999999999943</v>
      </c>
      <c r="H83" s="5"/>
    </row>
    <row r="84" spans="3:8" ht="15.75" customHeight="1" x14ac:dyDescent="0.3">
      <c r="C84" s="14">
        <v>2022</v>
      </c>
      <c r="D84" s="9" t="s">
        <v>68</v>
      </c>
      <c r="E84" s="15">
        <v>96.72</v>
      </c>
      <c r="F84" s="15">
        <v>89.62</v>
      </c>
      <c r="G84" s="25">
        <f t="shared" si="2"/>
        <v>7.0999999999999943</v>
      </c>
      <c r="H84" s="8"/>
    </row>
    <row r="85" spans="3:8" ht="15.75" customHeight="1" x14ac:dyDescent="0.3">
      <c r="C85" s="11">
        <v>2022</v>
      </c>
      <c r="D85" s="6" t="s">
        <v>69</v>
      </c>
      <c r="E85" s="12">
        <v>96.72</v>
      </c>
      <c r="F85" s="12">
        <v>89.62</v>
      </c>
      <c r="G85" s="24">
        <f t="shared" si="2"/>
        <v>7.0999999999999943</v>
      </c>
      <c r="H85" s="5"/>
    </row>
    <row r="86" spans="3:8" ht="15.75" customHeight="1" x14ac:dyDescent="0.3">
      <c r="C86" s="14">
        <v>2022</v>
      </c>
      <c r="D86" s="9" t="s">
        <v>70</v>
      </c>
      <c r="E86" s="15">
        <v>96.72</v>
      </c>
      <c r="F86" s="15">
        <v>89.62</v>
      </c>
      <c r="G86" s="25">
        <f t="shared" si="2"/>
        <v>7.0999999999999943</v>
      </c>
      <c r="H86" s="8"/>
    </row>
    <row r="87" spans="3:8" ht="15.75" customHeight="1" x14ac:dyDescent="0.3">
      <c r="C87" s="11">
        <v>2023</v>
      </c>
      <c r="D87" s="6" t="s">
        <v>58</v>
      </c>
      <c r="E87" s="12">
        <v>96.72</v>
      </c>
      <c r="F87" s="12">
        <v>89.62</v>
      </c>
      <c r="G87" s="24">
        <f t="shared" si="2"/>
        <v>7.0999999999999943</v>
      </c>
      <c r="H87" s="5"/>
    </row>
    <row r="88" spans="3:8" ht="15.75" customHeight="1" x14ac:dyDescent="0.3">
      <c r="C88" s="14">
        <v>2023</v>
      </c>
      <c r="D88" s="9" t="s">
        <v>59</v>
      </c>
      <c r="E88" s="15">
        <v>96.72</v>
      </c>
      <c r="F88" s="15">
        <v>89.62</v>
      </c>
      <c r="G88" s="25">
        <f t="shared" si="2"/>
        <v>7.0999999999999943</v>
      </c>
      <c r="H88" s="8"/>
    </row>
    <row r="89" spans="3:8" ht="15.75" customHeight="1" x14ac:dyDescent="0.3">
      <c r="C89" s="11">
        <v>2023</v>
      </c>
      <c r="D89" s="6" t="s">
        <v>60</v>
      </c>
      <c r="E89" s="12">
        <v>96.72</v>
      </c>
      <c r="F89" s="12">
        <v>89.62</v>
      </c>
      <c r="G89" s="24">
        <f t="shared" si="2"/>
        <v>7.0999999999999943</v>
      </c>
      <c r="H89" s="5"/>
    </row>
    <row r="90" spans="3:8" ht="15.75" customHeight="1" x14ac:dyDescent="0.3">
      <c r="C90" s="14">
        <v>2023</v>
      </c>
      <c r="D90" s="9" t="s">
        <v>61</v>
      </c>
      <c r="E90" s="15">
        <v>96.72</v>
      </c>
      <c r="F90" s="15">
        <v>89.62</v>
      </c>
      <c r="G90" s="25">
        <f t="shared" si="2"/>
        <v>7.0999999999999943</v>
      </c>
      <c r="H90" s="8"/>
    </row>
    <row r="91" spans="3:8" ht="15.75" customHeight="1" x14ac:dyDescent="0.3">
      <c r="C91" s="11">
        <v>2023</v>
      </c>
      <c r="D91" s="6" t="s">
        <v>63</v>
      </c>
      <c r="E91" s="12">
        <v>96.72</v>
      </c>
      <c r="F91" s="12">
        <v>89.62</v>
      </c>
      <c r="G91" s="24">
        <f t="shared" si="2"/>
        <v>7.0999999999999943</v>
      </c>
      <c r="H91" s="5"/>
    </row>
    <row r="92" spans="3:8" ht="15.75" customHeight="1" x14ac:dyDescent="0.3">
      <c r="C92" s="14">
        <v>2023</v>
      </c>
      <c r="D92" s="9" t="s">
        <v>64</v>
      </c>
      <c r="E92" s="15">
        <v>96.72</v>
      </c>
      <c r="F92" s="15">
        <v>89.62</v>
      </c>
      <c r="G92" s="25">
        <f t="shared" si="2"/>
        <v>7.0999999999999943</v>
      </c>
      <c r="H92" s="8"/>
    </row>
    <row r="93" spans="3:8" ht="15.75" customHeight="1" x14ac:dyDescent="0.3">
      <c r="C93" s="11">
        <v>2023</v>
      </c>
      <c r="D93" s="6" t="s">
        <v>65</v>
      </c>
      <c r="E93" s="12">
        <v>96.72</v>
      </c>
      <c r="F93" s="12">
        <v>89.62</v>
      </c>
      <c r="G93" s="24">
        <f t="shared" si="2"/>
        <v>7.0999999999999943</v>
      </c>
      <c r="H93" s="5"/>
    </row>
    <row r="94" spans="3:8" ht="15.75" customHeight="1" x14ac:dyDescent="0.3">
      <c r="C94" s="14">
        <v>2023</v>
      </c>
      <c r="D94" s="9" t="s">
        <v>66</v>
      </c>
      <c r="E94" s="15">
        <v>96.72</v>
      </c>
      <c r="F94" s="15">
        <v>89.62</v>
      </c>
      <c r="G94" s="25">
        <f t="shared" si="2"/>
        <v>7.0999999999999943</v>
      </c>
      <c r="H94" s="8"/>
    </row>
    <row r="95" spans="3:8" ht="15.75" customHeight="1" x14ac:dyDescent="0.3">
      <c r="C95" s="11">
        <v>2023</v>
      </c>
      <c r="D95" s="6" t="s">
        <v>67</v>
      </c>
      <c r="E95" s="12">
        <v>96.72</v>
      </c>
      <c r="F95" s="12">
        <v>89.62</v>
      </c>
      <c r="G95" s="24">
        <f t="shared" si="2"/>
        <v>7.0999999999999943</v>
      </c>
      <c r="H95" s="5"/>
    </row>
    <row r="96" spans="3:8" ht="15.75" customHeight="1" x14ac:dyDescent="0.3">
      <c r="C96" s="14">
        <v>2023</v>
      </c>
      <c r="D96" s="9" t="s">
        <v>68</v>
      </c>
      <c r="E96" s="15">
        <v>96.72</v>
      </c>
      <c r="F96" s="15">
        <v>89.62</v>
      </c>
      <c r="G96" s="25">
        <f t="shared" si="2"/>
        <v>7.0999999999999943</v>
      </c>
      <c r="H96" s="8"/>
    </row>
    <row r="97" spans="3:8" ht="15.75" customHeight="1" x14ac:dyDescent="0.3">
      <c r="C97" s="11">
        <v>2023</v>
      </c>
      <c r="D97" s="6" t="s">
        <v>69</v>
      </c>
      <c r="E97" s="12">
        <v>96.72</v>
      </c>
      <c r="F97" s="12">
        <v>89.62</v>
      </c>
      <c r="G97" s="24">
        <f t="shared" si="2"/>
        <v>7.0999999999999943</v>
      </c>
      <c r="H97" s="5"/>
    </row>
    <row r="98" spans="3:8" ht="15.75" customHeight="1" x14ac:dyDescent="0.3">
      <c r="C98" s="14">
        <v>2023</v>
      </c>
      <c r="D98" s="9" t="s">
        <v>70</v>
      </c>
      <c r="E98" s="15">
        <v>96.72</v>
      </c>
      <c r="F98" s="15">
        <v>89.62</v>
      </c>
      <c r="G98" s="25">
        <f t="shared" si="2"/>
        <v>7.0999999999999943</v>
      </c>
      <c r="H98" s="8"/>
    </row>
    <row r="99" spans="3:8" ht="15.75" customHeight="1" x14ac:dyDescent="0.3">
      <c r="C99" s="11">
        <v>2024</v>
      </c>
      <c r="D99" s="6" t="s">
        <v>58</v>
      </c>
      <c r="E99" s="12">
        <v>94.72</v>
      </c>
      <c r="F99" s="12">
        <v>87.62</v>
      </c>
      <c r="G99" s="24">
        <f t="shared" ref="G99:G127" si="3">E99-F99</f>
        <v>7.0999999999999943</v>
      </c>
      <c r="H99" s="5"/>
    </row>
    <row r="100" spans="3:8" ht="15.75" customHeight="1" x14ac:dyDescent="0.3">
      <c r="C100" s="14">
        <v>2024</v>
      </c>
      <c r="D100" s="9" t="s">
        <v>59</v>
      </c>
      <c r="E100" s="15">
        <v>94.72</v>
      </c>
      <c r="F100" s="15">
        <v>87.62</v>
      </c>
      <c r="G100" s="25">
        <f t="shared" si="3"/>
        <v>7.0999999999999943</v>
      </c>
      <c r="H100" s="8"/>
    </row>
    <row r="101" spans="3:8" ht="15.75" customHeight="1" x14ac:dyDescent="0.3">
      <c r="C101" s="65">
        <v>2024</v>
      </c>
      <c r="D101" s="66" t="s">
        <v>60</v>
      </c>
      <c r="E101" s="67">
        <v>94.72</v>
      </c>
      <c r="F101" s="67">
        <v>87.62</v>
      </c>
      <c r="G101" s="68">
        <f t="shared" si="3"/>
        <v>7.0999999999999943</v>
      </c>
      <c r="H101" s="69" t="s">
        <v>78</v>
      </c>
    </row>
    <row r="102" spans="3:8" ht="15.75" customHeight="1" x14ac:dyDescent="0.3">
      <c r="C102" s="14">
        <v>2024</v>
      </c>
      <c r="D102" s="9" t="s">
        <v>61</v>
      </c>
      <c r="E102" s="15">
        <v>94.72</v>
      </c>
      <c r="F102" s="15">
        <v>87.62</v>
      </c>
      <c r="G102" s="25">
        <f t="shared" si="3"/>
        <v>7.0999999999999943</v>
      </c>
      <c r="H102" s="8"/>
    </row>
    <row r="103" spans="3:8" ht="15.75" customHeight="1" x14ac:dyDescent="0.3">
      <c r="C103" s="11">
        <v>2024</v>
      </c>
      <c r="D103" s="6" t="s">
        <v>63</v>
      </c>
      <c r="E103" s="12">
        <v>94.72</v>
      </c>
      <c r="F103" s="12">
        <v>87.62</v>
      </c>
      <c r="G103" s="24">
        <f t="shared" si="3"/>
        <v>7.0999999999999943</v>
      </c>
      <c r="H103" s="5"/>
    </row>
    <row r="104" spans="3:8" ht="15.75" customHeight="1" x14ac:dyDescent="0.3">
      <c r="C104" s="14">
        <v>2024</v>
      </c>
      <c r="D104" s="9" t="s">
        <v>64</v>
      </c>
      <c r="E104" s="15">
        <v>94.72</v>
      </c>
      <c r="F104" s="15">
        <v>87.62</v>
      </c>
      <c r="G104" s="25">
        <f t="shared" si="3"/>
        <v>7.0999999999999943</v>
      </c>
      <c r="H104" s="8"/>
    </row>
    <row r="105" spans="3:8" ht="15.75" customHeight="1" x14ac:dyDescent="0.3">
      <c r="C105" s="11">
        <v>2024</v>
      </c>
      <c r="D105" s="6" t="s">
        <v>65</v>
      </c>
      <c r="E105" s="12">
        <v>94.72</v>
      </c>
      <c r="F105" s="12">
        <v>87.62</v>
      </c>
      <c r="G105" s="24">
        <f t="shared" si="3"/>
        <v>7.0999999999999943</v>
      </c>
      <c r="H105" s="5"/>
    </row>
    <row r="106" spans="3:8" ht="15.75" customHeight="1" x14ac:dyDescent="0.3">
      <c r="C106" s="14">
        <v>2024</v>
      </c>
      <c r="D106" s="9" t="s">
        <v>66</v>
      </c>
      <c r="E106" s="15">
        <v>94.72</v>
      </c>
      <c r="F106" s="15">
        <v>87.62</v>
      </c>
      <c r="G106" s="25">
        <f t="shared" si="3"/>
        <v>7.0999999999999943</v>
      </c>
      <c r="H106" s="8"/>
    </row>
    <row r="107" spans="3:8" ht="15.75" customHeight="1" x14ac:dyDescent="0.3">
      <c r="C107" s="11">
        <v>2024</v>
      </c>
      <c r="D107" s="6" t="s">
        <v>67</v>
      </c>
      <c r="E107" s="12">
        <v>94.72</v>
      </c>
      <c r="F107" s="12">
        <v>87.62</v>
      </c>
      <c r="G107" s="24">
        <f t="shared" si="3"/>
        <v>7.0999999999999943</v>
      </c>
      <c r="H107" s="5"/>
    </row>
    <row r="108" spans="3:8" ht="15.75" customHeight="1" x14ac:dyDescent="0.3">
      <c r="C108" s="14">
        <v>2024</v>
      </c>
      <c r="D108" s="9" t="s">
        <v>68</v>
      </c>
      <c r="E108" s="15">
        <v>94.72</v>
      </c>
      <c r="F108" s="15">
        <v>87.62</v>
      </c>
      <c r="G108" s="25">
        <f t="shared" si="3"/>
        <v>7.0999999999999943</v>
      </c>
      <c r="H108" s="8"/>
    </row>
    <row r="109" spans="3:8" ht="15.75" customHeight="1" x14ac:dyDescent="0.3">
      <c r="C109" s="11">
        <v>2024</v>
      </c>
      <c r="D109" s="6" t="s">
        <v>69</v>
      </c>
      <c r="E109" s="12">
        <v>94.72</v>
      </c>
      <c r="F109" s="12">
        <v>87.62</v>
      </c>
      <c r="G109" s="24">
        <f t="shared" si="3"/>
        <v>7.0999999999999943</v>
      </c>
      <c r="H109" s="5"/>
    </row>
    <row r="110" spans="3:8" ht="15.75" customHeight="1" x14ac:dyDescent="0.3">
      <c r="C110" s="14">
        <v>2024</v>
      </c>
      <c r="D110" s="9" t="s">
        <v>70</v>
      </c>
      <c r="E110" s="15">
        <v>94.72</v>
      </c>
      <c r="F110" s="15">
        <v>87.62</v>
      </c>
      <c r="G110" s="25">
        <f t="shared" si="3"/>
        <v>7.0999999999999943</v>
      </c>
      <c r="H110" s="8"/>
    </row>
    <row r="111" spans="3:8" ht="15.75" customHeight="1" x14ac:dyDescent="0.3">
      <c r="C111" s="11">
        <v>2025</v>
      </c>
      <c r="D111" s="6" t="s">
        <v>58</v>
      </c>
      <c r="E111" s="12">
        <v>94.72</v>
      </c>
      <c r="F111" s="12">
        <v>87.62</v>
      </c>
      <c r="G111" s="24">
        <f t="shared" si="3"/>
        <v>7.0999999999999943</v>
      </c>
      <c r="H111" s="5"/>
    </row>
    <row r="112" spans="3:8" ht="15.75" customHeight="1" x14ac:dyDescent="0.3">
      <c r="C112" s="14">
        <v>2025</v>
      </c>
      <c r="D112" s="9" t="s">
        <v>59</v>
      </c>
      <c r="E112" s="15">
        <v>94.72</v>
      </c>
      <c r="F112" s="15">
        <v>87.62</v>
      </c>
      <c r="G112" s="25">
        <f t="shared" si="3"/>
        <v>7.0999999999999943</v>
      </c>
      <c r="H112" s="8"/>
    </row>
    <row r="113" spans="3:8" ht="15.75" customHeight="1" x14ac:dyDescent="0.3">
      <c r="C113" s="11">
        <v>2025</v>
      </c>
      <c r="D113" s="6" t="s">
        <v>60</v>
      </c>
      <c r="E113" s="12">
        <v>94.72</v>
      </c>
      <c r="F113" s="12">
        <v>87.62</v>
      </c>
      <c r="G113" s="24">
        <f t="shared" si="3"/>
        <v>7.0999999999999943</v>
      </c>
      <c r="H113" s="5"/>
    </row>
    <row r="114" spans="3:8" ht="15.75" customHeight="1" x14ac:dyDescent="0.3">
      <c r="C114" s="14">
        <v>2025</v>
      </c>
      <c r="D114" s="9" t="s">
        <v>61</v>
      </c>
      <c r="E114" s="15">
        <v>94.72</v>
      </c>
      <c r="F114" s="15">
        <v>87.62</v>
      </c>
      <c r="G114" s="25">
        <f t="shared" si="3"/>
        <v>7.0999999999999943</v>
      </c>
      <c r="H114" s="8"/>
    </row>
    <row r="115" spans="3:8" ht="15.75" customHeight="1" x14ac:dyDescent="0.3">
      <c r="C115" s="11">
        <v>2025</v>
      </c>
      <c r="D115" s="6" t="s">
        <v>63</v>
      </c>
      <c r="E115" s="12">
        <v>94.72</v>
      </c>
      <c r="F115" s="12">
        <v>87.62</v>
      </c>
      <c r="G115" s="24">
        <f t="shared" si="3"/>
        <v>7.0999999999999943</v>
      </c>
      <c r="H115" s="5"/>
    </row>
    <row r="116" spans="3:8" ht="15.75" customHeight="1" x14ac:dyDescent="0.3">
      <c r="C116" s="14">
        <v>2025</v>
      </c>
      <c r="D116" s="9" t="s">
        <v>64</v>
      </c>
      <c r="E116" s="15">
        <v>94.72</v>
      </c>
      <c r="F116" s="15">
        <v>87.62</v>
      </c>
      <c r="G116" s="25">
        <f t="shared" si="3"/>
        <v>7.0999999999999943</v>
      </c>
      <c r="H116" s="8"/>
    </row>
    <row r="117" spans="3:8" ht="15.75" customHeight="1" x14ac:dyDescent="0.3">
      <c r="C117" s="11">
        <v>2025</v>
      </c>
      <c r="D117" s="6" t="s">
        <v>65</v>
      </c>
      <c r="E117" s="12">
        <v>94.72</v>
      </c>
      <c r="F117" s="12">
        <v>87.62</v>
      </c>
      <c r="G117" s="24">
        <f t="shared" si="3"/>
        <v>7.0999999999999943</v>
      </c>
      <c r="H117" s="5"/>
    </row>
    <row r="118" spans="3:8" ht="15.75" customHeight="1" x14ac:dyDescent="0.3">
      <c r="C118" s="14">
        <v>2025</v>
      </c>
      <c r="D118" s="9" t="s">
        <v>66</v>
      </c>
      <c r="E118" s="15">
        <v>94.72</v>
      </c>
      <c r="F118" s="15">
        <v>87.62</v>
      </c>
      <c r="G118" s="25">
        <f t="shared" si="3"/>
        <v>7.0999999999999943</v>
      </c>
      <c r="H118" s="8"/>
    </row>
    <row r="119" spans="3:8" ht="15.75" customHeight="1" x14ac:dyDescent="0.3">
      <c r="C119" s="11">
        <v>2025</v>
      </c>
      <c r="D119" s="6" t="s">
        <v>67</v>
      </c>
      <c r="E119" s="12">
        <v>95.41</v>
      </c>
      <c r="F119" s="12">
        <v>87.62</v>
      </c>
      <c r="G119" s="24">
        <f t="shared" si="3"/>
        <v>7.789999999999992</v>
      </c>
      <c r="H119" s="5"/>
    </row>
    <row r="120" spans="3:8" ht="15.75" customHeight="1" x14ac:dyDescent="0.3">
      <c r="C120" s="14">
        <v>2025</v>
      </c>
      <c r="D120" s="9" t="s">
        <v>68</v>
      </c>
      <c r="E120" s="15">
        <v>95.41</v>
      </c>
      <c r="F120" s="15">
        <v>87.62</v>
      </c>
      <c r="G120" s="25">
        <f t="shared" si="3"/>
        <v>7.789999999999992</v>
      </c>
      <c r="H120" s="8"/>
    </row>
    <row r="121" spans="3:8" ht="15.75" customHeight="1" x14ac:dyDescent="0.3">
      <c r="C121" s="11">
        <v>2025</v>
      </c>
      <c r="D121" s="6" t="s">
        <v>69</v>
      </c>
      <c r="E121" s="12">
        <v>95.41</v>
      </c>
      <c r="F121" s="12">
        <v>87.62</v>
      </c>
      <c r="G121" s="24">
        <f t="shared" si="3"/>
        <v>7.789999999999992</v>
      </c>
      <c r="H121" s="5"/>
    </row>
    <row r="122" spans="3:8" ht="15.75" customHeight="1" x14ac:dyDescent="0.3">
      <c r="C122" s="14">
        <v>2025</v>
      </c>
      <c r="D122" s="9" t="s">
        <v>70</v>
      </c>
      <c r="E122" s="15">
        <v>95.41</v>
      </c>
      <c r="F122" s="15">
        <v>87.62</v>
      </c>
      <c r="G122" s="25">
        <f t="shared" si="3"/>
        <v>7.789999999999992</v>
      </c>
      <c r="H122" s="8"/>
    </row>
    <row r="123" spans="3:8" ht="15.75" customHeight="1" x14ac:dyDescent="0.3">
      <c r="C123" s="11">
        <v>2026</v>
      </c>
      <c r="D123" s="6" t="s">
        <v>58</v>
      </c>
      <c r="E123" s="12">
        <v>95.41</v>
      </c>
      <c r="F123" s="12">
        <v>87.62</v>
      </c>
      <c r="G123" s="24">
        <f t="shared" si="3"/>
        <v>7.789999999999992</v>
      </c>
      <c r="H123" s="5"/>
    </row>
    <row r="124" spans="3:8" ht="15.75" customHeight="1" x14ac:dyDescent="0.3">
      <c r="C124" s="14">
        <v>2026</v>
      </c>
      <c r="D124" s="9" t="s">
        <v>59</v>
      </c>
      <c r="E124" s="15">
        <v>95.41</v>
      </c>
      <c r="F124" s="15">
        <v>87.62</v>
      </c>
      <c r="G124" s="25">
        <f t="shared" si="3"/>
        <v>7.789999999999992</v>
      </c>
      <c r="H124" s="8"/>
    </row>
    <row r="125" spans="3:8" ht="15.75" customHeight="1" x14ac:dyDescent="0.3">
      <c r="C125" s="11">
        <v>2026</v>
      </c>
      <c r="D125" s="6" t="s">
        <v>60</v>
      </c>
      <c r="E125" s="12">
        <v>95.41</v>
      </c>
      <c r="F125" s="12">
        <v>87.62</v>
      </c>
      <c r="G125" s="24">
        <f t="shared" si="3"/>
        <v>7.789999999999992</v>
      </c>
      <c r="H125" s="5"/>
    </row>
    <row r="126" spans="3:8" ht="15.75" customHeight="1" x14ac:dyDescent="0.3">
      <c r="C126" s="14">
        <v>2026</v>
      </c>
      <c r="D126" s="9" t="s">
        <v>61</v>
      </c>
      <c r="E126" s="15">
        <v>95.41</v>
      </c>
      <c r="F126" s="15">
        <v>87.62</v>
      </c>
      <c r="G126" s="25">
        <f t="shared" si="3"/>
        <v>7.789999999999992</v>
      </c>
      <c r="H126" s="8"/>
    </row>
    <row r="127" spans="3:8" ht="15.75" customHeight="1" x14ac:dyDescent="0.3">
      <c r="C127" s="65">
        <v>2026</v>
      </c>
      <c r="D127" s="66" t="s">
        <v>63</v>
      </c>
      <c r="E127" s="67">
        <v>97.77</v>
      </c>
      <c r="F127" s="67">
        <v>87.62</v>
      </c>
      <c r="G127" s="68">
        <f t="shared" si="3"/>
        <v>10.149999999999991</v>
      </c>
      <c r="H127" s="69" t="s">
        <v>79</v>
      </c>
    </row>
    <row r="129" spans="3:6" ht="102" customHeight="1" x14ac:dyDescent="0.3">
      <c r="C129" s="80" t="s">
        <v>80</v>
      </c>
      <c r="D129" s="80"/>
      <c r="E129" s="80"/>
      <c r="F129" s="80"/>
    </row>
  </sheetData>
  <mergeCells count="1">
    <mergeCell ref="C129:F129"/>
  </mergeCells>
  <hyperlinks>
    <hyperlink ref="I6" r:id="rId1" display="https://kimray.com/training/common-oil-and-gas-abbreviations" xr:uid="{58B8F778-B245-4BAE-B253-471BD97B58C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9"/>
  <sheetViews>
    <sheetView showGridLines="0" zoomScale="86" zoomScaleNormal="100" workbookViewId="0">
      <selection activeCell="G19" sqref="G19"/>
    </sheetView>
  </sheetViews>
  <sheetFormatPr defaultColWidth="8.6640625" defaultRowHeight="14.4" x14ac:dyDescent="0.3"/>
  <cols>
    <col min="1" max="1" width="5" customWidth="1"/>
    <col min="2" max="2" width="39.44140625" bestFit="1" customWidth="1"/>
    <col min="3" max="3" width="39.44140625" customWidth="1"/>
    <col min="4" max="4" width="13.6640625" bestFit="1" customWidth="1"/>
    <col min="5" max="11" width="15" customWidth="1"/>
    <col min="12" max="12" width="15.21875" customWidth="1"/>
    <col min="13" max="13" width="13.77734375" customWidth="1"/>
  </cols>
  <sheetData>
    <row r="1" spans="2:13" ht="21.75" customHeight="1" x14ac:dyDescent="0.3">
      <c r="B1" s="77" t="s">
        <v>81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2:13" ht="34.5" customHeight="1" x14ac:dyDescent="0.3">
      <c r="B2" s="10" t="s">
        <v>82</v>
      </c>
      <c r="C2" s="10"/>
      <c r="D2" s="10" t="s">
        <v>83</v>
      </c>
      <c r="E2" s="10" t="s">
        <v>84</v>
      </c>
      <c r="F2" s="10" t="s">
        <v>85</v>
      </c>
      <c r="G2" s="10" t="s">
        <v>86</v>
      </c>
      <c r="H2" s="10" t="s">
        <v>87</v>
      </c>
      <c r="I2" s="10" t="s">
        <v>88</v>
      </c>
      <c r="J2" s="10" t="s">
        <v>89</v>
      </c>
      <c r="K2" s="10" t="s">
        <v>90</v>
      </c>
      <c r="L2" s="10" t="s">
        <v>91</v>
      </c>
      <c r="M2" s="28"/>
    </row>
    <row r="3" spans="2:13" ht="16.5" customHeight="1" x14ac:dyDescent="0.3">
      <c r="B3" s="9" t="s">
        <v>92</v>
      </c>
      <c r="C3" s="9" t="s">
        <v>335</v>
      </c>
      <c r="D3" s="6" t="s">
        <v>93</v>
      </c>
      <c r="E3" s="12">
        <v>75.41</v>
      </c>
      <c r="F3" s="12">
        <v>80.430000000000007</v>
      </c>
      <c r="G3" s="12">
        <v>96.72</v>
      </c>
      <c r="H3" s="12">
        <v>94.72</v>
      </c>
      <c r="I3" s="12">
        <v>97.77</v>
      </c>
      <c r="J3" s="12">
        <v>87.62</v>
      </c>
      <c r="K3" s="12">
        <v>87.62</v>
      </c>
      <c r="L3" s="12">
        <v>87.62</v>
      </c>
      <c r="M3" s="29" t="s">
        <v>94</v>
      </c>
    </row>
    <row r="4" spans="2:13" ht="16.5" customHeight="1" x14ac:dyDescent="0.3">
      <c r="B4" s="9" t="s">
        <v>304</v>
      </c>
      <c r="C4" s="9" t="s">
        <v>305</v>
      </c>
      <c r="D4" s="9" t="s">
        <v>95</v>
      </c>
      <c r="E4" s="15">
        <v>76.150000000000006</v>
      </c>
      <c r="F4" s="15">
        <v>79.45</v>
      </c>
      <c r="G4" s="15">
        <v>97.35</v>
      </c>
      <c r="H4" s="15">
        <v>94.19</v>
      </c>
      <c r="I4" s="15">
        <v>97.49</v>
      </c>
      <c r="J4" s="15">
        <v>87.01</v>
      </c>
      <c r="K4" s="15">
        <v>87.01</v>
      </c>
      <c r="L4" s="15">
        <v>87.01</v>
      </c>
      <c r="M4" s="29" t="s">
        <v>94</v>
      </c>
    </row>
    <row r="5" spans="2:13" ht="16.5" customHeight="1" x14ac:dyDescent="0.3">
      <c r="B5" s="6" t="s">
        <v>306</v>
      </c>
      <c r="C5" s="6" t="s">
        <v>307</v>
      </c>
      <c r="D5" s="6" t="s">
        <v>96</v>
      </c>
      <c r="E5" s="12">
        <v>84.5</v>
      </c>
      <c r="F5" s="12">
        <v>87.93</v>
      </c>
      <c r="G5" s="12">
        <v>113.62</v>
      </c>
      <c r="H5" s="12">
        <v>104.88</v>
      </c>
      <c r="I5" s="12">
        <v>106.99</v>
      </c>
      <c r="J5" s="12">
        <v>90.83</v>
      </c>
      <c r="K5" s="12">
        <v>90.83</v>
      </c>
      <c r="L5" s="12">
        <v>90.83</v>
      </c>
      <c r="M5" s="30" t="s">
        <v>97</v>
      </c>
    </row>
    <row r="6" spans="2:13" ht="16.5" customHeight="1" x14ac:dyDescent="0.3">
      <c r="B6" s="9" t="s">
        <v>308</v>
      </c>
      <c r="C6" s="9" t="s">
        <v>309</v>
      </c>
      <c r="D6" s="9" t="s">
        <v>98</v>
      </c>
      <c r="E6" s="15">
        <v>85.22</v>
      </c>
      <c r="F6" s="15">
        <v>91.34</v>
      </c>
      <c r="G6" s="15">
        <v>111.35</v>
      </c>
      <c r="H6" s="15">
        <v>104.21</v>
      </c>
      <c r="I6" s="15">
        <v>106.68</v>
      </c>
      <c r="J6" s="15">
        <v>92.15</v>
      </c>
      <c r="K6" s="15">
        <v>92.15</v>
      </c>
      <c r="L6" s="15">
        <v>92.15</v>
      </c>
      <c r="M6" s="30" t="s">
        <v>97</v>
      </c>
    </row>
    <row r="7" spans="2:13" ht="16.5" customHeight="1" x14ac:dyDescent="0.3">
      <c r="B7" s="6" t="s">
        <v>310</v>
      </c>
      <c r="C7" s="6" t="s">
        <v>309</v>
      </c>
      <c r="D7" s="6" t="s">
        <v>98</v>
      </c>
      <c r="E7" s="12">
        <v>84.88</v>
      </c>
      <c r="F7" s="12">
        <v>91.01</v>
      </c>
      <c r="G7" s="12">
        <v>110.95</v>
      </c>
      <c r="H7" s="12">
        <v>103.89</v>
      </c>
      <c r="I7" s="12">
        <v>106.37</v>
      </c>
      <c r="J7" s="12">
        <v>91.79</v>
      </c>
      <c r="K7" s="12">
        <v>91.79</v>
      </c>
      <c r="L7" s="12">
        <v>91.79</v>
      </c>
      <c r="M7" s="30" t="s">
        <v>97</v>
      </c>
    </row>
    <row r="8" spans="2:13" ht="16.5" customHeight="1" x14ac:dyDescent="0.3">
      <c r="B8" s="9" t="s">
        <v>311</v>
      </c>
      <c r="C8" s="9" t="s">
        <v>312</v>
      </c>
      <c r="D8" s="9" t="s">
        <v>99</v>
      </c>
      <c r="E8" s="15">
        <v>83.56</v>
      </c>
      <c r="F8" s="15">
        <v>81.260000000000005</v>
      </c>
      <c r="G8" s="15">
        <v>101.94</v>
      </c>
      <c r="H8" s="15">
        <v>102.86</v>
      </c>
      <c r="I8" s="15">
        <v>106.21</v>
      </c>
      <c r="J8" s="15">
        <v>88.94</v>
      </c>
      <c r="K8" s="15">
        <v>88.94</v>
      </c>
      <c r="L8" s="15">
        <v>88.94</v>
      </c>
      <c r="M8" s="31" t="s">
        <v>100</v>
      </c>
    </row>
    <row r="9" spans="2:13" ht="16.5" customHeight="1" x14ac:dyDescent="0.3">
      <c r="B9" s="6" t="s">
        <v>313</v>
      </c>
      <c r="C9" s="6" t="s">
        <v>314</v>
      </c>
      <c r="D9" s="6" t="s">
        <v>101</v>
      </c>
      <c r="E9" s="12">
        <v>82.28</v>
      </c>
      <c r="F9" s="12">
        <v>81.34</v>
      </c>
      <c r="G9" s="12">
        <v>102.49</v>
      </c>
      <c r="H9" s="12">
        <v>100.75</v>
      </c>
      <c r="I9" s="12">
        <v>103.67</v>
      </c>
      <c r="J9" s="12">
        <v>92.34</v>
      </c>
      <c r="K9" s="12">
        <v>92.34</v>
      </c>
      <c r="L9" s="12">
        <v>92.76</v>
      </c>
      <c r="M9" s="31" t="s">
        <v>100</v>
      </c>
    </row>
    <row r="10" spans="2:13" ht="16.5" customHeight="1" x14ac:dyDescent="0.3">
      <c r="B10" s="9" t="s">
        <v>315</v>
      </c>
      <c r="C10" s="9" t="s">
        <v>316</v>
      </c>
      <c r="D10" s="9" t="s">
        <v>102</v>
      </c>
      <c r="E10" s="15">
        <v>88.25</v>
      </c>
      <c r="F10" s="15">
        <v>90.72</v>
      </c>
      <c r="G10" s="15">
        <v>109.66</v>
      </c>
      <c r="H10" s="15">
        <v>107.41</v>
      </c>
      <c r="I10" s="15">
        <v>110.89</v>
      </c>
      <c r="J10" s="15">
        <v>93.05</v>
      </c>
      <c r="K10" s="15">
        <v>93.05</v>
      </c>
      <c r="L10" s="15">
        <v>93.05</v>
      </c>
      <c r="M10" s="30" t="s">
        <v>103</v>
      </c>
    </row>
    <row r="11" spans="2:13" ht="16.5" customHeight="1" x14ac:dyDescent="0.3">
      <c r="B11" s="6" t="s">
        <v>317</v>
      </c>
      <c r="C11" s="6" t="s">
        <v>318</v>
      </c>
      <c r="D11" s="6" t="s">
        <v>104</v>
      </c>
      <c r="E11" s="12">
        <v>84.29</v>
      </c>
      <c r="F11" s="12">
        <v>86.36</v>
      </c>
      <c r="G11" s="12">
        <v>106.03</v>
      </c>
      <c r="H11" s="12">
        <v>104.95</v>
      </c>
      <c r="I11" s="12">
        <v>108.7</v>
      </c>
      <c r="J11" s="12">
        <v>90.76</v>
      </c>
      <c r="K11" s="12">
        <v>90.76</v>
      </c>
      <c r="L11" s="12">
        <v>90.76</v>
      </c>
      <c r="M11" s="30" t="s">
        <v>97</v>
      </c>
    </row>
    <row r="12" spans="2:13" ht="16.5" customHeight="1" x14ac:dyDescent="0.3">
      <c r="B12" s="9" t="s">
        <v>319</v>
      </c>
      <c r="C12" s="9" t="s">
        <v>320</v>
      </c>
      <c r="D12" s="9" t="s">
        <v>105</v>
      </c>
      <c r="E12" s="15">
        <v>87.13</v>
      </c>
      <c r="F12" s="15">
        <v>90.77</v>
      </c>
      <c r="G12" s="15">
        <v>118.77</v>
      </c>
      <c r="H12" s="15">
        <v>107.17</v>
      </c>
      <c r="I12" s="15">
        <v>107.17</v>
      </c>
      <c r="J12" s="15">
        <v>91.25</v>
      </c>
      <c r="K12" s="15">
        <v>91.25</v>
      </c>
      <c r="L12" s="15">
        <v>91.25</v>
      </c>
      <c r="M12" s="30" t="s">
        <v>97</v>
      </c>
    </row>
    <row r="13" spans="2:13" ht="16.5" customHeight="1" x14ac:dyDescent="0.3">
      <c r="B13" s="6" t="s">
        <v>321</v>
      </c>
      <c r="C13" s="6" t="s">
        <v>322</v>
      </c>
      <c r="D13" s="6" t="s">
        <v>106</v>
      </c>
      <c r="E13" s="12">
        <v>80.73</v>
      </c>
      <c r="F13" s="12">
        <v>83.26</v>
      </c>
      <c r="G13" s="12">
        <v>96.57</v>
      </c>
      <c r="H13" s="12">
        <v>94.72</v>
      </c>
      <c r="I13" s="12">
        <v>94.72</v>
      </c>
      <c r="J13" s="12">
        <v>87.62</v>
      </c>
      <c r="K13" s="12">
        <v>87.62</v>
      </c>
      <c r="L13" s="12">
        <v>87.62</v>
      </c>
      <c r="M13" s="29" t="s">
        <v>94</v>
      </c>
    </row>
    <row r="14" spans="2:13" ht="16.5" customHeight="1" x14ac:dyDescent="0.3">
      <c r="B14" s="9" t="s">
        <v>323</v>
      </c>
      <c r="C14" s="9" t="s">
        <v>324</v>
      </c>
      <c r="D14" s="9" t="s">
        <v>107</v>
      </c>
      <c r="E14" s="15">
        <v>82.4</v>
      </c>
      <c r="F14" s="15">
        <v>84.13</v>
      </c>
      <c r="G14" s="15">
        <v>107.13</v>
      </c>
      <c r="H14" s="15">
        <v>105.36</v>
      </c>
      <c r="I14" s="15">
        <v>107.23</v>
      </c>
      <c r="J14" s="15">
        <v>92.51</v>
      </c>
      <c r="K14" s="15">
        <v>92.51</v>
      </c>
      <c r="L14" s="15">
        <v>92.51</v>
      </c>
      <c r="M14" s="31" t="s">
        <v>100</v>
      </c>
    </row>
    <row r="15" spans="2:13" ht="16.5" customHeight="1" x14ac:dyDescent="0.3">
      <c r="B15" s="6" t="s">
        <v>325</v>
      </c>
      <c r="C15" s="6" t="s">
        <v>326</v>
      </c>
      <c r="D15" s="6" t="s">
        <v>108</v>
      </c>
      <c r="E15" s="12">
        <v>74.56</v>
      </c>
      <c r="F15" s="12">
        <v>77.430000000000007</v>
      </c>
      <c r="G15" s="12">
        <v>96.2</v>
      </c>
      <c r="H15" s="12">
        <v>94.24</v>
      </c>
      <c r="I15" s="12">
        <v>94.24</v>
      </c>
      <c r="J15" s="12">
        <v>82.29</v>
      </c>
      <c r="K15" s="12">
        <v>82.29</v>
      </c>
      <c r="L15" s="12">
        <v>82.29</v>
      </c>
      <c r="M15" s="29" t="s">
        <v>94</v>
      </c>
    </row>
    <row r="16" spans="2:13" ht="16.5" customHeight="1" x14ac:dyDescent="0.3">
      <c r="B16" s="9" t="s">
        <v>327</v>
      </c>
      <c r="C16" s="9" t="s">
        <v>328</v>
      </c>
      <c r="D16" s="9" t="s">
        <v>109</v>
      </c>
      <c r="E16" s="15">
        <v>83.17</v>
      </c>
      <c r="F16" s="15">
        <v>86.12</v>
      </c>
      <c r="G16" s="15">
        <v>103.19</v>
      </c>
      <c r="H16" s="15">
        <v>100.79</v>
      </c>
      <c r="I16" s="15">
        <v>100.79</v>
      </c>
      <c r="J16" s="15">
        <v>89.42</v>
      </c>
      <c r="K16" s="15">
        <v>89.42</v>
      </c>
      <c r="L16" s="15">
        <v>89.42</v>
      </c>
      <c r="M16" s="30" t="s">
        <v>97</v>
      </c>
    </row>
    <row r="17" spans="2:13" ht="16.5" customHeight="1" x14ac:dyDescent="0.3">
      <c r="B17" s="6" t="s">
        <v>329</v>
      </c>
      <c r="C17" s="6" t="s">
        <v>330</v>
      </c>
      <c r="D17" s="6" t="s">
        <v>110</v>
      </c>
      <c r="E17" s="12">
        <v>82.44</v>
      </c>
      <c r="F17" s="12">
        <v>84.56</v>
      </c>
      <c r="G17" s="12">
        <v>96.08</v>
      </c>
      <c r="H17" s="12">
        <v>94.86</v>
      </c>
      <c r="I17" s="12">
        <v>98.5</v>
      </c>
      <c r="J17" s="12">
        <v>90.15</v>
      </c>
      <c r="K17" s="12">
        <v>90.15</v>
      </c>
      <c r="L17" s="12">
        <v>90.15</v>
      </c>
      <c r="M17" s="31" t="s">
        <v>100</v>
      </c>
    </row>
    <row r="18" spans="2:13" ht="16.5" customHeight="1" x14ac:dyDescent="0.3">
      <c r="B18" s="9" t="s">
        <v>331</v>
      </c>
      <c r="C18" s="9" t="s">
        <v>332</v>
      </c>
      <c r="D18" s="9" t="s">
        <v>111</v>
      </c>
      <c r="E18" s="15">
        <v>82.15</v>
      </c>
      <c r="F18" s="15">
        <v>83.45</v>
      </c>
      <c r="G18" s="15">
        <v>101.47</v>
      </c>
      <c r="H18" s="15">
        <v>102.63</v>
      </c>
      <c r="I18" s="15">
        <v>102.63</v>
      </c>
      <c r="J18" s="15">
        <v>88</v>
      </c>
      <c r="K18" s="15">
        <v>88</v>
      </c>
      <c r="L18" s="15">
        <v>88</v>
      </c>
      <c r="M18" s="31" t="s">
        <v>100</v>
      </c>
    </row>
    <row r="19" spans="2:13" ht="16.5" customHeight="1" x14ac:dyDescent="0.3">
      <c r="B19" s="6" t="s">
        <v>333</v>
      </c>
      <c r="C19" s="6" t="s">
        <v>334</v>
      </c>
      <c r="D19" s="6" t="s">
        <v>112</v>
      </c>
      <c r="E19" s="12">
        <v>96.1</v>
      </c>
      <c r="F19" s="12">
        <v>98</v>
      </c>
      <c r="G19" s="12">
        <v>119.43</v>
      </c>
      <c r="H19" s="12">
        <v>108.51</v>
      </c>
      <c r="I19" s="12">
        <v>110.58</v>
      </c>
      <c r="J19" s="12">
        <v>93.27</v>
      </c>
      <c r="K19" s="12">
        <v>93.27</v>
      </c>
      <c r="L19" s="12">
        <v>93.27</v>
      </c>
      <c r="M19" s="32" t="s">
        <v>113</v>
      </c>
    </row>
    <row r="22" spans="2:13" ht="19.5" customHeight="1" x14ac:dyDescent="0.3">
      <c r="B22" s="77" t="s">
        <v>114</v>
      </c>
      <c r="C22" s="77"/>
      <c r="D22" s="77"/>
      <c r="E22" s="77"/>
      <c r="F22" s="77"/>
      <c r="G22" s="77"/>
    </row>
    <row r="23" spans="2:13" ht="16.5" customHeight="1" x14ac:dyDescent="0.3">
      <c r="B23" s="33" t="s">
        <v>94</v>
      </c>
      <c r="C23" s="33"/>
      <c r="D23" s="86" t="s">
        <v>115</v>
      </c>
      <c r="E23" s="86"/>
      <c r="F23" s="86"/>
      <c r="G23" s="86"/>
      <c r="H23" s="86"/>
    </row>
    <row r="24" spans="2:13" ht="16.5" customHeight="1" x14ac:dyDescent="0.3">
      <c r="B24" s="34" t="s">
        <v>100</v>
      </c>
      <c r="C24" s="34"/>
      <c r="D24" s="87" t="s">
        <v>116</v>
      </c>
      <c r="E24" s="87"/>
      <c r="F24" s="87"/>
      <c r="G24" s="87"/>
      <c r="H24" s="87"/>
    </row>
    <row r="25" spans="2:13" ht="16.5" customHeight="1" x14ac:dyDescent="0.3">
      <c r="B25" s="35" t="s">
        <v>97</v>
      </c>
      <c r="C25" s="35"/>
      <c r="D25" s="84" t="s">
        <v>117</v>
      </c>
      <c r="E25" s="84"/>
      <c r="F25" s="84"/>
      <c r="G25" s="84"/>
      <c r="H25" s="84"/>
    </row>
    <row r="26" spans="2:13" ht="16.5" customHeight="1" x14ac:dyDescent="0.3">
      <c r="B26" s="35" t="s">
        <v>103</v>
      </c>
      <c r="C26" s="35"/>
      <c r="D26" s="84" t="s">
        <v>118</v>
      </c>
      <c r="E26" s="84"/>
      <c r="F26" s="84"/>
      <c r="G26" s="84"/>
      <c r="H26" s="84"/>
    </row>
    <row r="27" spans="2:13" ht="16.5" customHeight="1" x14ac:dyDescent="0.3">
      <c r="B27" s="36" t="s">
        <v>113</v>
      </c>
      <c r="C27" s="36"/>
      <c r="D27" s="85" t="s">
        <v>119</v>
      </c>
      <c r="E27" s="85"/>
      <c r="F27" s="85"/>
      <c r="G27" s="85"/>
      <c r="H27" s="85"/>
    </row>
    <row r="29" spans="2:13" ht="61.2" customHeight="1" x14ac:dyDescent="0.3">
      <c r="B29" s="80" t="s">
        <v>120</v>
      </c>
      <c r="C29" s="80"/>
      <c r="D29" s="80"/>
      <c r="E29" s="80"/>
      <c r="F29" s="80"/>
      <c r="G29" s="80"/>
      <c r="H29" s="80"/>
    </row>
  </sheetData>
  <mergeCells count="8">
    <mergeCell ref="D26:H26"/>
    <mergeCell ref="D27:H27"/>
    <mergeCell ref="B29:H29"/>
    <mergeCell ref="B1:M1"/>
    <mergeCell ref="B22:G22"/>
    <mergeCell ref="D23:H23"/>
    <mergeCell ref="D24:H24"/>
    <mergeCell ref="D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3"/>
  <sheetViews>
    <sheetView showGridLines="0" tabSelected="1" topLeftCell="E1" zoomScaleNormal="100" workbookViewId="0">
      <selection activeCell="J3" sqref="J3"/>
    </sheetView>
  </sheetViews>
  <sheetFormatPr defaultColWidth="8.6640625" defaultRowHeight="14.4" x14ac:dyDescent="0.3"/>
  <cols>
    <col min="1" max="1" width="5" customWidth="1"/>
    <col min="2" max="2" width="13.33203125" bestFit="1" customWidth="1"/>
    <col min="3" max="7" width="22" customWidth="1"/>
    <col min="8" max="8" width="28" customWidth="1"/>
    <col min="9" max="9" width="58.6640625" bestFit="1" customWidth="1"/>
  </cols>
  <sheetData>
    <row r="1" spans="2:10" ht="21.75" customHeight="1" x14ac:dyDescent="0.3">
      <c r="B1" s="77" t="s">
        <v>121</v>
      </c>
      <c r="C1" s="77"/>
      <c r="D1" s="77"/>
      <c r="E1" s="77"/>
      <c r="F1" s="77"/>
      <c r="G1" s="77"/>
      <c r="H1" s="77"/>
    </row>
    <row r="2" spans="2:10" ht="34.5" customHeight="1" x14ac:dyDescent="0.3">
      <c r="B2" s="10" t="s">
        <v>23</v>
      </c>
      <c r="C2" s="10" t="s">
        <v>122</v>
      </c>
      <c r="D2" s="10" t="s">
        <v>123</v>
      </c>
      <c r="E2" s="10" t="s">
        <v>124</v>
      </c>
      <c r="F2" s="10" t="s">
        <v>125</v>
      </c>
      <c r="G2" s="10" t="s">
        <v>126</v>
      </c>
      <c r="H2" s="10" t="s">
        <v>127</v>
      </c>
      <c r="I2" s="10" t="s">
        <v>128</v>
      </c>
    </row>
    <row r="3" spans="2:10" ht="19.5" customHeight="1" x14ac:dyDescent="0.3">
      <c r="B3" s="11">
        <v>2016</v>
      </c>
      <c r="C3" s="37">
        <v>43.29</v>
      </c>
      <c r="D3" s="12">
        <v>64.38</v>
      </c>
      <c r="E3" s="12">
        <v>50.19</v>
      </c>
      <c r="F3" s="12">
        <v>67.19</v>
      </c>
      <c r="G3" s="38">
        <f t="shared" ref="G3:G13" si="0">C3*F3</f>
        <v>2908.6550999999999</v>
      </c>
      <c r="H3" s="39">
        <f t="shared" ref="H3:H13" si="1">D3/C3</f>
        <v>1.487179487179487</v>
      </c>
      <c r="I3" s="40" t="s">
        <v>129</v>
      </c>
      <c r="J3" s="90"/>
    </row>
    <row r="4" spans="2:10" ht="19.5" customHeight="1" x14ac:dyDescent="0.3">
      <c r="B4" s="14">
        <v>2017</v>
      </c>
      <c r="C4" s="41">
        <v>50.8</v>
      </c>
      <c r="D4" s="15">
        <v>69.989999999999995</v>
      </c>
      <c r="E4" s="15">
        <v>56.89</v>
      </c>
      <c r="F4" s="15">
        <v>65.12</v>
      </c>
      <c r="G4" s="42">
        <f t="shared" si="0"/>
        <v>3308.096</v>
      </c>
      <c r="H4" s="43">
        <f t="shared" si="1"/>
        <v>1.3777559055118109</v>
      </c>
      <c r="I4" s="44" t="s">
        <v>130</v>
      </c>
    </row>
    <row r="5" spans="2:10" ht="19.5" customHeight="1" x14ac:dyDescent="0.3">
      <c r="B5" s="11">
        <v>2018</v>
      </c>
      <c r="C5" s="37">
        <v>65.23</v>
      </c>
      <c r="D5" s="12">
        <v>78.52</v>
      </c>
      <c r="E5" s="12">
        <v>63.54</v>
      </c>
      <c r="F5" s="12">
        <v>68.400000000000006</v>
      </c>
      <c r="G5" s="38">
        <f t="shared" si="0"/>
        <v>4461.7320000000009</v>
      </c>
      <c r="H5" s="39">
        <f t="shared" si="1"/>
        <v>1.2037406101487045</v>
      </c>
      <c r="I5" s="40" t="s">
        <v>131</v>
      </c>
    </row>
    <row r="6" spans="2:10" ht="19.5" customHeight="1" x14ac:dyDescent="0.3">
      <c r="B6" s="14">
        <v>2019</v>
      </c>
      <c r="C6" s="41">
        <v>56.99</v>
      </c>
      <c r="D6" s="15">
        <v>73.83</v>
      </c>
      <c r="E6" s="15">
        <v>65.8</v>
      </c>
      <c r="F6" s="15">
        <v>70.42</v>
      </c>
      <c r="G6" s="42">
        <f t="shared" si="0"/>
        <v>4013.2358000000004</v>
      </c>
      <c r="H6" s="43">
        <f t="shared" si="1"/>
        <v>1.2954904369187576</v>
      </c>
      <c r="I6" s="44" t="s">
        <v>132</v>
      </c>
    </row>
    <row r="7" spans="2:10" ht="19.5" customHeight="1" x14ac:dyDescent="0.3">
      <c r="B7" s="11">
        <v>2020</v>
      </c>
      <c r="C7" s="37">
        <v>39.68</v>
      </c>
      <c r="D7" s="12">
        <v>80.430000000000007</v>
      </c>
      <c r="E7" s="12">
        <v>69.87</v>
      </c>
      <c r="F7" s="12">
        <v>74.099999999999994</v>
      </c>
      <c r="G7" s="38">
        <f t="shared" si="0"/>
        <v>2940.2879999999996</v>
      </c>
      <c r="H7" s="39">
        <f t="shared" si="1"/>
        <v>2.026965725806452</v>
      </c>
      <c r="I7" s="40" t="s">
        <v>133</v>
      </c>
    </row>
    <row r="8" spans="2:10" ht="19.5" customHeight="1" x14ac:dyDescent="0.3">
      <c r="B8" s="14">
        <v>2021</v>
      </c>
      <c r="C8" s="41">
        <v>68.17</v>
      </c>
      <c r="D8" s="15">
        <v>95.41</v>
      </c>
      <c r="E8" s="15">
        <v>86.2</v>
      </c>
      <c r="F8" s="15">
        <v>73.92</v>
      </c>
      <c r="G8" s="42">
        <f t="shared" si="0"/>
        <v>5039.1264000000001</v>
      </c>
      <c r="H8" s="43">
        <f t="shared" si="1"/>
        <v>1.3995892621387707</v>
      </c>
      <c r="I8" s="44" t="s">
        <v>134</v>
      </c>
    </row>
    <row r="9" spans="2:10" ht="19.5" customHeight="1" x14ac:dyDescent="0.3">
      <c r="B9" s="11">
        <v>2022</v>
      </c>
      <c r="C9" s="37">
        <v>94.53</v>
      </c>
      <c r="D9" s="12">
        <v>95</v>
      </c>
      <c r="E9" s="12">
        <v>92</v>
      </c>
      <c r="F9" s="12">
        <v>78.599999999999994</v>
      </c>
      <c r="G9" s="38">
        <f t="shared" si="0"/>
        <v>7430.058</v>
      </c>
      <c r="H9" s="39">
        <f t="shared" si="1"/>
        <v>1.0049719665714587</v>
      </c>
      <c r="I9" s="40" t="s">
        <v>135</v>
      </c>
    </row>
    <row r="10" spans="2:10" ht="19.5" customHeight="1" x14ac:dyDescent="0.3">
      <c r="B10" s="14">
        <v>2023</v>
      </c>
      <c r="C10" s="41">
        <v>76.290000000000006</v>
      </c>
      <c r="D10" s="15">
        <v>98</v>
      </c>
      <c r="E10" s="15">
        <v>87.5</v>
      </c>
      <c r="F10" s="15">
        <v>82.57</v>
      </c>
      <c r="G10" s="42">
        <f t="shared" si="0"/>
        <v>6299.2653</v>
      </c>
      <c r="H10" s="43">
        <f t="shared" si="1"/>
        <v>1.2845720277887009</v>
      </c>
      <c r="I10" s="44" t="s">
        <v>136</v>
      </c>
    </row>
    <row r="11" spans="2:10" ht="19.5" customHeight="1" x14ac:dyDescent="0.3">
      <c r="B11" s="11">
        <v>2024</v>
      </c>
      <c r="C11" s="37">
        <v>77.599999999999994</v>
      </c>
      <c r="D11" s="12">
        <v>94.72</v>
      </c>
      <c r="E11" s="12">
        <v>87.62</v>
      </c>
      <c r="F11" s="12">
        <v>83.42</v>
      </c>
      <c r="G11" s="38">
        <f t="shared" si="0"/>
        <v>6473.3919999999998</v>
      </c>
      <c r="H11" s="39">
        <f t="shared" si="1"/>
        <v>1.220618556701031</v>
      </c>
      <c r="I11" s="40" t="s">
        <v>137</v>
      </c>
    </row>
    <row r="12" spans="2:10" ht="19.5" customHeight="1" x14ac:dyDescent="0.3">
      <c r="B12" s="14">
        <v>2025</v>
      </c>
      <c r="C12" s="41">
        <v>70</v>
      </c>
      <c r="D12" s="15">
        <v>95.41</v>
      </c>
      <c r="E12" s="15">
        <v>87.62</v>
      </c>
      <c r="F12" s="15">
        <v>84.5</v>
      </c>
      <c r="G12" s="42">
        <f t="shared" si="0"/>
        <v>5915</v>
      </c>
      <c r="H12" s="43">
        <f t="shared" si="1"/>
        <v>1.363</v>
      </c>
      <c r="I12" s="44" t="s">
        <v>138</v>
      </c>
    </row>
    <row r="13" spans="2:10" ht="19.5" customHeight="1" x14ac:dyDescent="0.3">
      <c r="B13" s="11">
        <v>2026</v>
      </c>
      <c r="C13" s="37">
        <v>65</v>
      </c>
      <c r="D13" s="12">
        <v>97.77</v>
      </c>
      <c r="E13" s="12">
        <v>87.62</v>
      </c>
      <c r="F13" s="12">
        <v>84.2</v>
      </c>
      <c r="G13" s="38">
        <f t="shared" si="0"/>
        <v>5473</v>
      </c>
      <c r="H13" s="39">
        <f t="shared" si="1"/>
        <v>1.5041538461538462</v>
      </c>
      <c r="I13" s="40" t="s">
        <v>139</v>
      </c>
    </row>
    <row r="16" spans="2:10" ht="15.6" x14ac:dyDescent="0.3">
      <c r="B16" s="77" t="s">
        <v>140</v>
      </c>
      <c r="C16" s="77"/>
      <c r="D16" s="77"/>
      <c r="E16" s="77"/>
      <c r="F16" s="77"/>
      <c r="G16" s="77"/>
      <c r="H16" s="77"/>
    </row>
    <row r="17" spans="2:9" ht="21.75" customHeight="1" x14ac:dyDescent="0.3">
      <c r="B17" s="45" t="s">
        <v>141</v>
      </c>
      <c r="C17" s="88" t="s">
        <v>142</v>
      </c>
      <c r="D17" s="88"/>
      <c r="E17" s="88"/>
      <c r="F17" s="88"/>
      <c r="G17" s="88"/>
      <c r="H17" s="88"/>
      <c r="I17" s="88"/>
    </row>
    <row r="18" spans="2:9" ht="21.75" customHeight="1" x14ac:dyDescent="0.3">
      <c r="B18" s="45" t="s">
        <v>143</v>
      </c>
      <c r="C18" s="88" t="s">
        <v>144</v>
      </c>
      <c r="D18" s="88"/>
      <c r="E18" s="88"/>
      <c r="F18" s="88"/>
      <c r="G18" s="88"/>
      <c r="H18" s="88"/>
      <c r="I18" s="88"/>
    </row>
    <row r="19" spans="2:9" ht="21.75" customHeight="1" x14ac:dyDescent="0.3">
      <c r="B19" s="45" t="s">
        <v>145</v>
      </c>
      <c r="C19" s="88" t="s">
        <v>146</v>
      </c>
      <c r="D19" s="88"/>
      <c r="E19" s="88"/>
      <c r="F19" s="88"/>
      <c r="G19" s="88"/>
      <c r="H19" s="88"/>
      <c r="I19" s="88"/>
    </row>
    <row r="20" spans="2:9" ht="21.75" customHeight="1" x14ac:dyDescent="0.3">
      <c r="B20" s="45" t="s">
        <v>147</v>
      </c>
      <c r="C20" s="88" t="s">
        <v>148</v>
      </c>
      <c r="D20" s="88"/>
      <c r="E20" s="88"/>
      <c r="F20" s="88"/>
      <c r="G20" s="88"/>
      <c r="H20" s="88"/>
      <c r="I20" s="88"/>
    </row>
    <row r="21" spans="2:9" ht="21.75" customHeight="1" x14ac:dyDescent="0.3">
      <c r="B21" s="45" t="s">
        <v>149</v>
      </c>
      <c r="C21" s="88" t="s">
        <v>150</v>
      </c>
      <c r="D21" s="88"/>
      <c r="E21" s="88"/>
      <c r="F21" s="88"/>
      <c r="G21" s="88"/>
      <c r="H21" s="88"/>
      <c r="I21" s="88"/>
    </row>
    <row r="23" spans="2:9" ht="57.6" customHeight="1" x14ac:dyDescent="0.3">
      <c r="B23" s="80" t="s">
        <v>151</v>
      </c>
      <c r="C23" s="80"/>
      <c r="D23" s="80"/>
      <c r="E23" s="80"/>
      <c r="F23" s="80"/>
    </row>
  </sheetData>
  <mergeCells count="8">
    <mergeCell ref="C20:I20"/>
    <mergeCell ref="C21:I21"/>
    <mergeCell ref="B23:F23"/>
    <mergeCell ref="B1:H1"/>
    <mergeCell ref="B16:H16"/>
    <mergeCell ref="C17:I17"/>
    <mergeCell ref="C18:I18"/>
    <mergeCell ref="C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2"/>
  <sheetViews>
    <sheetView showGridLines="0" zoomScaleNormal="100" workbookViewId="0">
      <selection activeCell="J14" sqref="J14"/>
    </sheetView>
  </sheetViews>
  <sheetFormatPr defaultColWidth="8.6640625" defaultRowHeight="14.4" x14ac:dyDescent="0.3"/>
  <cols>
    <col min="1" max="1" width="5" customWidth="1"/>
    <col min="2" max="2" width="21.77734375" bestFit="1" customWidth="1"/>
    <col min="3" max="3" width="22" customWidth="1"/>
    <col min="4" max="9" width="18" customWidth="1"/>
    <col min="10" max="10" width="26.33203125" bestFit="1" customWidth="1"/>
  </cols>
  <sheetData>
    <row r="1" spans="2:10" ht="21.75" customHeight="1" x14ac:dyDescent="0.3">
      <c r="B1" s="77" t="s">
        <v>152</v>
      </c>
      <c r="C1" s="77"/>
      <c r="D1" s="77"/>
      <c r="E1" s="77"/>
      <c r="F1" s="77"/>
      <c r="G1" s="77"/>
      <c r="H1" s="77"/>
      <c r="I1" s="77"/>
      <c r="J1" s="77"/>
    </row>
    <row r="2" spans="2:10" ht="34.5" customHeight="1" x14ac:dyDescent="0.3">
      <c r="B2" s="10" t="s">
        <v>153</v>
      </c>
      <c r="C2" s="10" t="s">
        <v>154</v>
      </c>
      <c r="D2" s="10" t="s">
        <v>155</v>
      </c>
      <c r="E2" s="10" t="s">
        <v>156</v>
      </c>
      <c r="F2" s="10" t="s">
        <v>157</v>
      </c>
      <c r="G2" s="10" t="s">
        <v>158</v>
      </c>
      <c r="H2" s="10" t="s">
        <v>159</v>
      </c>
      <c r="I2" s="10" t="s">
        <v>160</v>
      </c>
      <c r="J2" s="10" t="s">
        <v>161</v>
      </c>
    </row>
    <row r="3" spans="2:10" ht="18" customHeight="1" x14ac:dyDescent="0.3">
      <c r="B3" s="6" t="s">
        <v>162</v>
      </c>
      <c r="C3" s="12">
        <v>21.48</v>
      </c>
      <c r="D3" s="12">
        <v>17.329999999999998</v>
      </c>
      <c r="E3" s="12">
        <v>27.9</v>
      </c>
      <c r="F3" s="12">
        <v>15</v>
      </c>
      <c r="G3" s="12">
        <v>2.58</v>
      </c>
      <c r="H3" s="46">
        <f t="shared" ref="H3:H14" si="0">D3+C3+F3+G3</f>
        <v>56.39</v>
      </c>
      <c r="I3" s="47">
        <f t="shared" ref="I3:I14" si="1">(C3+F3)/H3</f>
        <v>0.64692321333569791</v>
      </c>
      <c r="J3" s="40" t="s">
        <v>163</v>
      </c>
    </row>
    <row r="4" spans="2:10" ht="18" customHeight="1" x14ac:dyDescent="0.3">
      <c r="B4" s="9" t="s">
        <v>164</v>
      </c>
      <c r="C4" s="15">
        <v>21.48</v>
      </c>
      <c r="D4" s="15">
        <v>17.329999999999998</v>
      </c>
      <c r="E4" s="15">
        <v>28.4</v>
      </c>
      <c r="F4" s="15">
        <v>15.55</v>
      </c>
      <c r="G4" s="15">
        <v>2.58</v>
      </c>
      <c r="H4" s="46">
        <f t="shared" si="0"/>
        <v>56.94</v>
      </c>
      <c r="I4" s="48">
        <f t="shared" si="1"/>
        <v>0.65033368458025997</v>
      </c>
      <c r="J4" s="44" t="s">
        <v>165</v>
      </c>
    </row>
    <row r="5" spans="2:10" ht="18" customHeight="1" x14ac:dyDescent="0.3">
      <c r="B5" s="6" t="s">
        <v>166</v>
      </c>
      <c r="C5" s="12">
        <v>19.98</v>
      </c>
      <c r="D5" s="12">
        <v>15.83</v>
      </c>
      <c r="E5" s="12">
        <v>35.96</v>
      </c>
      <c r="F5" s="12">
        <v>17.78</v>
      </c>
      <c r="G5" s="12">
        <v>2.5299999999999998</v>
      </c>
      <c r="H5" s="46">
        <f t="shared" si="0"/>
        <v>56.120000000000005</v>
      </c>
      <c r="I5" s="47">
        <f t="shared" si="1"/>
        <v>0.6728439059158946</v>
      </c>
      <c r="J5" s="40" t="s">
        <v>167</v>
      </c>
    </row>
    <row r="6" spans="2:10" ht="18" customHeight="1" x14ac:dyDescent="0.3">
      <c r="B6" s="9" t="s">
        <v>168</v>
      </c>
      <c r="C6" s="15">
        <v>19.98</v>
      </c>
      <c r="D6" s="15">
        <v>15.83</v>
      </c>
      <c r="E6" s="15">
        <v>31.82</v>
      </c>
      <c r="F6" s="15">
        <v>16.59</v>
      </c>
      <c r="G6" s="15">
        <v>2.5299999999999998</v>
      </c>
      <c r="H6" s="46">
        <f t="shared" si="0"/>
        <v>54.930000000000007</v>
      </c>
      <c r="I6" s="48">
        <f t="shared" si="1"/>
        <v>0.66575641725832868</v>
      </c>
      <c r="J6" s="44" t="s">
        <v>169</v>
      </c>
    </row>
    <row r="7" spans="2:10" ht="18" customHeight="1" x14ac:dyDescent="0.3">
      <c r="B7" s="6" t="s">
        <v>170</v>
      </c>
      <c r="C7" s="12">
        <v>32.979999999999997</v>
      </c>
      <c r="D7" s="12">
        <v>31.83</v>
      </c>
      <c r="E7" s="12">
        <v>20.8</v>
      </c>
      <c r="F7" s="12">
        <v>15.81</v>
      </c>
      <c r="G7" s="12">
        <v>2.58</v>
      </c>
      <c r="H7" s="46">
        <f t="shared" si="0"/>
        <v>83.2</v>
      </c>
      <c r="I7" s="47">
        <f t="shared" si="1"/>
        <v>0.58641826923076923</v>
      </c>
      <c r="J7" s="40" t="s">
        <v>171</v>
      </c>
    </row>
    <row r="8" spans="2:10" ht="18" customHeight="1" x14ac:dyDescent="0.3">
      <c r="B8" s="9" t="s">
        <v>172</v>
      </c>
      <c r="C8" s="15">
        <v>32.9</v>
      </c>
      <c r="D8" s="15">
        <v>31.8</v>
      </c>
      <c r="E8" s="15">
        <v>34.26</v>
      </c>
      <c r="F8" s="15">
        <v>23.47</v>
      </c>
      <c r="G8" s="15">
        <v>3.57</v>
      </c>
      <c r="H8" s="46">
        <f t="shared" si="0"/>
        <v>91.74</v>
      </c>
      <c r="I8" s="48">
        <f t="shared" si="1"/>
        <v>0.61445389143230866</v>
      </c>
      <c r="J8" s="44" t="s">
        <v>173</v>
      </c>
    </row>
    <row r="9" spans="2:10" ht="18" customHeight="1" x14ac:dyDescent="0.3">
      <c r="B9" s="6" t="s">
        <v>174</v>
      </c>
      <c r="C9" s="12">
        <v>27.9</v>
      </c>
      <c r="D9" s="12">
        <v>21.8</v>
      </c>
      <c r="E9" s="12">
        <v>35.119999999999997</v>
      </c>
      <c r="F9" s="12">
        <v>23.25</v>
      </c>
      <c r="G9" s="12">
        <v>3.67</v>
      </c>
      <c r="H9" s="46">
        <f t="shared" si="0"/>
        <v>76.62</v>
      </c>
      <c r="I9" s="47">
        <f t="shared" si="1"/>
        <v>0.66758026624902111</v>
      </c>
      <c r="J9" s="40" t="s">
        <v>175</v>
      </c>
    </row>
    <row r="10" spans="2:10" ht="18" customHeight="1" x14ac:dyDescent="0.3">
      <c r="B10" s="9" t="s">
        <v>176</v>
      </c>
      <c r="C10" s="15">
        <v>19.899999999999999</v>
      </c>
      <c r="D10" s="15">
        <v>15.8</v>
      </c>
      <c r="E10" s="15">
        <v>41.22</v>
      </c>
      <c r="F10" s="15">
        <v>15.6</v>
      </c>
      <c r="G10" s="15">
        <v>3.77</v>
      </c>
      <c r="H10" s="46">
        <f t="shared" si="0"/>
        <v>55.070000000000007</v>
      </c>
      <c r="I10" s="48">
        <f t="shared" si="1"/>
        <v>0.64463410205193383</v>
      </c>
      <c r="J10" s="44" t="s">
        <v>177</v>
      </c>
    </row>
    <row r="11" spans="2:10" ht="18" customHeight="1" x14ac:dyDescent="0.3">
      <c r="B11" s="6" t="s">
        <v>178</v>
      </c>
      <c r="C11" s="12">
        <v>19.899999999999999</v>
      </c>
      <c r="D11" s="12">
        <v>15.8</v>
      </c>
      <c r="E11" s="12">
        <v>43.09</v>
      </c>
      <c r="F11" s="12">
        <v>16.12</v>
      </c>
      <c r="G11" s="12">
        <v>3.86</v>
      </c>
      <c r="H11" s="46">
        <f t="shared" si="0"/>
        <v>55.680000000000007</v>
      </c>
      <c r="I11" s="47">
        <f t="shared" si="1"/>
        <v>0.64691091954022972</v>
      </c>
      <c r="J11" s="40" t="s">
        <v>179</v>
      </c>
    </row>
    <row r="12" spans="2:10" ht="18" customHeight="1" x14ac:dyDescent="0.3">
      <c r="B12" s="9" t="s">
        <v>180</v>
      </c>
      <c r="C12" s="15">
        <v>19.899999999999999</v>
      </c>
      <c r="D12" s="15">
        <v>15.8</v>
      </c>
      <c r="E12" s="15">
        <v>41.22</v>
      </c>
      <c r="F12" s="15">
        <v>15.6</v>
      </c>
      <c r="G12" s="15">
        <v>3.77</v>
      </c>
      <c r="H12" s="46">
        <f t="shared" si="0"/>
        <v>55.070000000000007</v>
      </c>
      <c r="I12" s="48">
        <f t="shared" si="1"/>
        <v>0.64463410205193383</v>
      </c>
      <c r="J12" s="44" t="s">
        <v>181</v>
      </c>
    </row>
    <row r="13" spans="2:10" ht="18" customHeight="1" x14ac:dyDescent="0.3">
      <c r="B13" s="6" t="s">
        <v>182</v>
      </c>
      <c r="C13" s="12">
        <v>13</v>
      </c>
      <c r="D13" s="12">
        <v>10</v>
      </c>
      <c r="E13" s="12">
        <v>48</v>
      </c>
      <c r="F13" s="12">
        <v>18.2</v>
      </c>
      <c r="G13" s="12">
        <v>3.9</v>
      </c>
      <c r="H13" s="46">
        <f t="shared" si="0"/>
        <v>45.1</v>
      </c>
      <c r="I13" s="47">
        <f t="shared" si="1"/>
        <v>0.69179600886917958</v>
      </c>
      <c r="J13" s="40" t="s">
        <v>183</v>
      </c>
    </row>
    <row r="14" spans="2:10" ht="18" customHeight="1" x14ac:dyDescent="0.3">
      <c r="B14" s="9" t="s">
        <v>184</v>
      </c>
      <c r="C14" s="15">
        <v>13</v>
      </c>
      <c r="D14" s="15">
        <v>10</v>
      </c>
      <c r="E14" s="15">
        <v>50.72</v>
      </c>
      <c r="F14" s="15">
        <v>18.350000000000001</v>
      </c>
      <c r="G14" s="15">
        <v>3.92</v>
      </c>
      <c r="H14" s="46">
        <f t="shared" si="0"/>
        <v>45.27</v>
      </c>
      <c r="I14" s="48">
        <f t="shared" si="1"/>
        <v>0.69251159708416166</v>
      </c>
      <c r="J14" s="44" t="s">
        <v>185</v>
      </c>
    </row>
    <row r="17" spans="2:10" ht="19.5" customHeight="1" x14ac:dyDescent="0.3">
      <c r="B17" s="89" t="s">
        <v>186</v>
      </c>
      <c r="C17" s="89"/>
      <c r="D17" s="89"/>
      <c r="E17" s="89"/>
      <c r="F17" s="89"/>
      <c r="G17" s="89"/>
      <c r="H17" s="89"/>
      <c r="I17" s="89"/>
      <c r="J17" s="89"/>
    </row>
    <row r="18" spans="2:10" x14ac:dyDescent="0.3">
      <c r="B18" s="23" t="s">
        <v>187</v>
      </c>
      <c r="C18" s="23" t="s">
        <v>188</v>
      </c>
      <c r="D18" s="23" t="s">
        <v>24</v>
      </c>
      <c r="E18" s="23" t="s">
        <v>25</v>
      </c>
      <c r="F18" s="23" t="s">
        <v>189</v>
      </c>
    </row>
    <row r="19" spans="2:10" ht="16.5" customHeight="1" x14ac:dyDescent="0.3">
      <c r="B19" s="5" t="s">
        <v>190</v>
      </c>
      <c r="C19" s="6" t="s">
        <v>112</v>
      </c>
      <c r="D19" s="12">
        <v>108.51</v>
      </c>
      <c r="E19" s="12">
        <v>93.27</v>
      </c>
      <c r="F19" s="11">
        <v>1</v>
      </c>
    </row>
    <row r="20" spans="2:10" ht="16.5" customHeight="1" x14ac:dyDescent="0.3">
      <c r="B20" s="8" t="s">
        <v>191</v>
      </c>
      <c r="C20" s="9" t="s">
        <v>192</v>
      </c>
      <c r="D20" s="15">
        <v>107.35</v>
      </c>
      <c r="E20" s="15">
        <v>93.78</v>
      </c>
      <c r="F20" s="14">
        <v>2</v>
      </c>
    </row>
    <row r="21" spans="2:10" ht="16.5" customHeight="1" x14ac:dyDescent="0.3">
      <c r="B21" s="5" t="s">
        <v>193</v>
      </c>
      <c r="C21" s="6" t="s">
        <v>194</v>
      </c>
      <c r="D21" s="12">
        <v>107.41</v>
      </c>
      <c r="E21" s="12">
        <v>93.05</v>
      </c>
      <c r="F21" s="11">
        <v>3</v>
      </c>
    </row>
    <row r="22" spans="2:10" ht="16.5" customHeight="1" x14ac:dyDescent="0.3">
      <c r="B22" s="8" t="s">
        <v>195</v>
      </c>
      <c r="C22" s="9" t="s">
        <v>105</v>
      </c>
      <c r="D22" s="15">
        <v>107.17</v>
      </c>
      <c r="E22" s="15">
        <v>91.25</v>
      </c>
      <c r="F22" s="14">
        <v>4</v>
      </c>
    </row>
    <row r="23" spans="2:10" ht="16.5" customHeight="1" x14ac:dyDescent="0.3">
      <c r="B23" s="5" t="s">
        <v>196</v>
      </c>
      <c r="C23" s="6" t="s">
        <v>197</v>
      </c>
      <c r="D23" s="12">
        <v>104.88</v>
      </c>
      <c r="E23" s="12">
        <v>90.83</v>
      </c>
      <c r="F23" s="11">
        <v>5</v>
      </c>
    </row>
    <row r="24" spans="2:10" ht="16.5" customHeight="1" x14ac:dyDescent="0.3">
      <c r="B24" s="8" t="s">
        <v>198</v>
      </c>
      <c r="C24" s="9" t="s">
        <v>104</v>
      </c>
      <c r="D24" s="15">
        <v>104.95</v>
      </c>
      <c r="E24" s="15">
        <v>90.76</v>
      </c>
      <c r="F24" s="14">
        <v>6</v>
      </c>
    </row>
    <row r="25" spans="2:10" ht="16.5" customHeight="1" x14ac:dyDescent="0.3">
      <c r="B25" s="5" t="s">
        <v>199</v>
      </c>
      <c r="C25" s="6" t="s">
        <v>200</v>
      </c>
      <c r="D25" s="12">
        <v>104.21</v>
      </c>
      <c r="E25" s="12">
        <v>92.15</v>
      </c>
      <c r="F25" s="11">
        <v>7</v>
      </c>
    </row>
    <row r="26" spans="2:10" ht="16.5" customHeight="1" x14ac:dyDescent="0.3">
      <c r="B26" s="8" t="s">
        <v>201</v>
      </c>
      <c r="C26" s="9" t="s">
        <v>99</v>
      </c>
      <c r="D26" s="15">
        <v>102.86</v>
      </c>
      <c r="E26" s="15">
        <v>88.94</v>
      </c>
      <c r="F26" s="14">
        <v>8</v>
      </c>
    </row>
    <row r="27" spans="2:10" ht="16.5" customHeight="1" x14ac:dyDescent="0.3">
      <c r="B27" s="5" t="s">
        <v>202</v>
      </c>
      <c r="C27" s="6" t="s">
        <v>203</v>
      </c>
      <c r="D27" s="12">
        <v>100.75</v>
      </c>
      <c r="E27" s="12">
        <v>92.34</v>
      </c>
      <c r="F27" s="11">
        <v>9</v>
      </c>
    </row>
    <row r="28" spans="2:10" ht="16.5" customHeight="1" x14ac:dyDescent="0.3">
      <c r="B28" s="8" t="s">
        <v>92</v>
      </c>
      <c r="C28" s="9" t="s">
        <v>93</v>
      </c>
      <c r="D28" s="15">
        <v>94.72</v>
      </c>
      <c r="E28" s="15">
        <v>87.62</v>
      </c>
      <c r="F28" s="14">
        <v>10</v>
      </c>
    </row>
    <row r="29" spans="2:10" ht="16.5" customHeight="1" x14ac:dyDescent="0.3">
      <c r="B29" s="5" t="s">
        <v>204</v>
      </c>
      <c r="C29" s="6" t="s">
        <v>205</v>
      </c>
      <c r="D29" s="12">
        <v>94.19</v>
      </c>
      <c r="E29" s="12">
        <v>87.01</v>
      </c>
      <c r="F29" s="11">
        <v>11</v>
      </c>
    </row>
    <row r="30" spans="2:10" ht="16.5" customHeight="1" x14ac:dyDescent="0.3">
      <c r="B30" s="8" t="s">
        <v>206</v>
      </c>
      <c r="C30" s="9" t="s">
        <v>108</v>
      </c>
      <c r="D30" s="15">
        <v>94.24</v>
      </c>
      <c r="E30" s="15">
        <v>82.29</v>
      </c>
      <c r="F30" s="14">
        <v>12</v>
      </c>
    </row>
    <row r="32" spans="2:10" ht="51" customHeight="1" x14ac:dyDescent="0.3">
      <c r="B32" s="80" t="s">
        <v>207</v>
      </c>
      <c r="C32" s="80"/>
      <c r="D32" s="80"/>
      <c r="E32" s="80"/>
      <c r="F32" s="80"/>
    </row>
  </sheetData>
  <mergeCells count="3">
    <mergeCell ref="B1:J1"/>
    <mergeCell ref="B17:J17"/>
    <mergeCell ref="B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23"/>
  <sheetViews>
    <sheetView showGridLines="0" zoomScaleNormal="100" workbookViewId="0">
      <selection activeCell="C20" sqref="C20:I20"/>
    </sheetView>
  </sheetViews>
  <sheetFormatPr defaultColWidth="8.6640625" defaultRowHeight="14.4" x14ac:dyDescent="0.3"/>
  <cols>
    <col min="1" max="1" width="5" customWidth="1"/>
    <col min="2" max="2" width="17.21875" bestFit="1" customWidth="1"/>
    <col min="3" max="4" width="20" customWidth="1"/>
    <col min="5" max="5" width="18" customWidth="1"/>
    <col min="6" max="7" width="20" customWidth="1"/>
    <col min="8" max="8" width="22" customWidth="1"/>
    <col min="9" max="9" width="32" bestFit="1" customWidth="1"/>
  </cols>
  <sheetData>
    <row r="1" spans="2:9" ht="21.75" customHeight="1" x14ac:dyDescent="0.3">
      <c r="B1" s="77" t="s">
        <v>208</v>
      </c>
      <c r="C1" s="77"/>
      <c r="D1" s="77"/>
      <c r="E1" s="77"/>
      <c r="F1" s="77"/>
      <c r="G1" s="77"/>
      <c r="H1" s="77"/>
    </row>
    <row r="2" spans="2:9" ht="34.5" customHeight="1" x14ac:dyDescent="0.3">
      <c r="B2" s="10" t="s">
        <v>23</v>
      </c>
      <c r="C2" s="10" t="s">
        <v>54</v>
      </c>
      <c r="D2" s="10" t="s">
        <v>55</v>
      </c>
      <c r="E2" s="10" t="s">
        <v>209</v>
      </c>
      <c r="F2" s="10" t="s">
        <v>210</v>
      </c>
      <c r="G2" s="10" t="s">
        <v>211</v>
      </c>
      <c r="H2" s="10" t="s">
        <v>212</v>
      </c>
      <c r="I2" s="10" t="s">
        <v>213</v>
      </c>
    </row>
    <row r="3" spans="2:9" ht="18" customHeight="1" x14ac:dyDescent="0.3">
      <c r="B3" s="11">
        <v>2016</v>
      </c>
      <c r="C3" s="12">
        <v>64.38</v>
      </c>
      <c r="D3" s="12">
        <v>50.19</v>
      </c>
      <c r="E3" s="49">
        <v>4.5</v>
      </c>
      <c r="F3" s="50">
        <v>7.9000000000000001E-2</v>
      </c>
      <c r="G3" s="37">
        <v>43.29</v>
      </c>
      <c r="H3" s="51">
        <v>6.5000000000000002E-2</v>
      </c>
      <c r="I3" s="40" t="s">
        <v>214</v>
      </c>
    </row>
    <row r="4" spans="2:9" ht="18" customHeight="1" x14ac:dyDescent="0.3">
      <c r="B4" s="14">
        <v>2017</v>
      </c>
      <c r="C4" s="15">
        <v>69.989999999999995</v>
      </c>
      <c r="D4" s="15">
        <v>56.89</v>
      </c>
      <c r="E4" s="52">
        <v>3.33</v>
      </c>
      <c r="F4" s="53">
        <v>7.9000000000000001E-2</v>
      </c>
      <c r="G4" s="41">
        <v>50.8</v>
      </c>
      <c r="H4" s="54">
        <v>0.06</v>
      </c>
      <c r="I4" s="44" t="s">
        <v>215</v>
      </c>
    </row>
    <row r="5" spans="2:9" ht="18" customHeight="1" x14ac:dyDescent="0.3">
      <c r="B5" s="11">
        <v>2018</v>
      </c>
      <c r="C5" s="12">
        <v>78.52</v>
      </c>
      <c r="D5" s="12">
        <v>63.54</v>
      </c>
      <c r="E5" s="49">
        <v>3.94</v>
      </c>
      <c r="F5" s="50">
        <v>7.9000000000000001E-2</v>
      </c>
      <c r="G5" s="37">
        <v>65.23</v>
      </c>
      <c r="H5" s="51">
        <v>6.5000000000000002E-2</v>
      </c>
      <c r="I5" s="40" t="s">
        <v>216</v>
      </c>
    </row>
    <row r="6" spans="2:9" ht="18" customHeight="1" x14ac:dyDescent="0.3">
      <c r="B6" s="14">
        <v>2019</v>
      </c>
      <c r="C6" s="15">
        <v>73.83</v>
      </c>
      <c r="D6" s="15">
        <v>65.8</v>
      </c>
      <c r="E6" s="52">
        <v>3.73</v>
      </c>
      <c r="F6" s="53">
        <v>7.9000000000000001E-2</v>
      </c>
      <c r="G6" s="41">
        <v>56.99</v>
      </c>
      <c r="H6" s="54">
        <v>5.1499999999999997E-2</v>
      </c>
      <c r="I6" s="44" t="s">
        <v>217</v>
      </c>
    </row>
    <row r="7" spans="2:9" ht="18" customHeight="1" x14ac:dyDescent="0.3">
      <c r="B7" s="55">
        <v>2020</v>
      </c>
      <c r="C7" s="56">
        <v>80.430000000000007</v>
      </c>
      <c r="D7" s="56">
        <v>69.87</v>
      </c>
      <c r="E7" s="57">
        <v>6.2</v>
      </c>
      <c r="F7" s="58">
        <v>7.9000000000000001E-2</v>
      </c>
      <c r="G7" s="59">
        <v>39.68</v>
      </c>
      <c r="H7" s="60">
        <v>0.04</v>
      </c>
      <c r="I7" s="61" t="s">
        <v>218</v>
      </c>
    </row>
    <row r="8" spans="2:9" ht="18" customHeight="1" x14ac:dyDescent="0.3">
      <c r="B8" s="14">
        <v>2021</v>
      </c>
      <c r="C8" s="15">
        <v>95.41</v>
      </c>
      <c r="D8" s="15">
        <v>86.2</v>
      </c>
      <c r="E8" s="52">
        <v>5.13</v>
      </c>
      <c r="F8" s="53">
        <v>7.9000000000000001E-2</v>
      </c>
      <c r="G8" s="41">
        <v>68.17</v>
      </c>
      <c r="H8" s="54">
        <v>0.04</v>
      </c>
      <c r="I8" s="44" t="s">
        <v>219</v>
      </c>
    </row>
    <row r="9" spans="2:9" ht="18" customHeight="1" x14ac:dyDescent="0.3">
      <c r="B9" s="55">
        <v>2022</v>
      </c>
      <c r="C9" s="56">
        <v>95</v>
      </c>
      <c r="D9" s="56">
        <v>92</v>
      </c>
      <c r="E9" s="57">
        <v>6.7</v>
      </c>
      <c r="F9" s="58">
        <v>7.9000000000000001E-2</v>
      </c>
      <c r="G9" s="59">
        <v>94.53</v>
      </c>
      <c r="H9" s="60">
        <v>6.25E-2</v>
      </c>
      <c r="I9" s="61" t="s">
        <v>220</v>
      </c>
    </row>
    <row r="10" spans="2:9" ht="18" customHeight="1" x14ac:dyDescent="0.3">
      <c r="B10" s="14">
        <v>2023</v>
      </c>
      <c r="C10" s="15">
        <v>98</v>
      </c>
      <c r="D10" s="15">
        <v>87.5</v>
      </c>
      <c r="E10" s="52">
        <v>5.4</v>
      </c>
      <c r="F10" s="53">
        <v>7.9000000000000001E-2</v>
      </c>
      <c r="G10" s="41">
        <v>76.290000000000006</v>
      </c>
      <c r="H10" s="54">
        <v>6.5000000000000002E-2</v>
      </c>
      <c r="I10" s="44" t="s">
        <v>221</v>
      </c>
    </row>
    <row r="11" spans="2:9" ht="18" customHeight="1" x14ac:dyDescent="0.3">
      <c r="B11" s="11">
        <v>2024</v>
      </c>
      <c r="C11" s="12">
        <v>94.72</v>
      </c>
      <c r="D11" s="12">
        <v>87.62</v>
      </c>
      <c r="E11" s="49">
        <v>4.8499999999999996</v>
      </c>
      <c r="F11" s="50">
        <v>7.9000000000000001E-2</v>
      </c>
      <c r="G11" s="37">
        <v>77.599999999999994</v>
      </c>
      <c r="H11" s="51">
        <v>6.5000000000000002E-2</v>
      </c>
      <c r="I11" s="40" t="s">
        <v>222</v>
      </c>
    </row>
    <row r="12" spans="2:9" ht="18" customHeight="1" x14ac:dyDescent="0.3">
      <c r="B12" s="14">
        <v>2025</v>
      </c>
      <c r="C12" s="15">
        <v>95.41</v>
      </c>
      <c r="D12" s="15">
        <v>87.62</v>
      </c>
      <c r="E12" s="52">
        <v>4.2</v>
      </c>
      <c r="F12" s="53">
        <v>7.9000000000000001E-2</v>
      </c>
      <c r="G12" s="41">
        <v>70</v>
      </c>
      <c r="H12" s="54">
        <v>0.06</v>
      </c>
      <c r="I12" s="44" t="s">
        <v>223</v>
      </c>
    </row>
    <row r="13" spans="2:9" ht="18" customHeight="1" x14ac:dyDescent="0.3">
      <c r="B13" s="11">
        <v>2026</v>
      </c>
      <c r="C13" s="12">
        <v>97.77</v>
      </c>
      <c r="D13" s="12">
        <v>87.62</v>
      </c>
      <c r="E13" s="49">
        <v>4.5</v>
      </c>
      <c r="F13" s="50">
        <v>7.9000000000000001E-2</v>
      </c>
      <c r="G13" s="37">
        <v>65</v>
      </c>
      <c r="H13" s="51">
        <v>5.7500000000000002E-2</v>
      </c>
      <c r="I13" s="40" t="s">
        <v>224</v>
      </c>
    </row>
    <row r="15" spans="2:9" ht="15.6" x14ac:dyDescent="0.3">
      <c r="B15" s="77" t="s">
        <v>225</v>
      </c>
      <c r="C15" s="77"/>
      <c r="D15" s="77"/>
      <c r="E15" s="77"/>
      <c r="F15" s="77"/>
      <c r="G15" s="77"/>
      <c r="H15" s="77"/>
    </row>
    <row r="16" spans="2:9" ht="21.75" customHeight="1" x14ac:dyDescent="0.3">
      <c r="B16" s="45" t="s">
        <v>226</v>
      </c>
      <c r="C16" s="88" t="s">
        <v>227</v>
      </c>
      <c r="D16" s="88"/>
      <c r="E16" s="88"/>
      <c r="F16" s="88"/>
      <c r="G16" s="88"/>
      <c r="H16" s="88"/>
      <c r="I16" s="88"/>
    </row>
    <row r="17" spans="2:9" ht="21.75" customHeight="1" x14ac:dyDescent="0.3">
      <c r="B17" s="45" t="s">
        <v>228</v>
      </c>
      <c r="C17" s="88" t="s">
        <v>229</v>
      </c>
      <c r="D17" s="88"/>
      <c r="E17" s="88"/>
      <c r="F17" s="88"/>
      <c r="G17" s="88"/>
      <c r="H17" s="88"/>
      <c r="I17" s="88"/>
    </row>
    <row r="18" spans="2:9" ht="21.75" customHeight="1" x14ac:dyDescent="0.3">
      <c r="B18" s="45" t="s">
        <v>230</v>
      </c>
      <c r="C18" s="88" t="s">
        <v>231</v>
      </c>
      <c r="D18" s="88"/>
      <c r="E18" s="88"/>
      <c r="F18" s="88"/>
      <c r="G18" s="88"/>
      <c r="H18" s="88"/>
      <c r="I18" s="88"/>
    </row>
    <row r="19" spans="2:9" ht="21.75" customHeight="1" x14ac:dyDescent="0.3">
      <c r="B19" s="45" t="s">
        <v>232</v>
      </c>
      <c r="C19" s="88" t="s">
        <v>233</v>
      </c>
      <c r="D19" s="88"/>
      <c r="E19" s="88"/>
      <c r="F19" s="88"/>
      <c r="G19" s="88"/>
      <c r="H19" s="88"/>
      <c r="I19" s="88"/>
    </row>
    <row r="20" spans="2:9" ht="21.75" customHeight="1" x14ac:dyDescent="0.3">
      <c r="B20" s="45" t="s">
        <v>234</v>
      </c>
      <c r="C20" s="88" t="s">
        <v>235</v>
      </c>
      <c r="D20" s="88"/>
      <c r="E20" s="88"/>
      <c r="F20" s="88"/>
      <c r="G20" s="88"/>
      <c r="H20" s="88"/>
      <c r="I20" s="88"/>
    </row>
    <row r="21" spans="2:9" ht="21.75" customHeight="1" x14ac:dyDescent="0.3">
      <c r="B21" s="45" t="s">
        <v>236</v>
      </c>
      <c r="C21" s="88" t="s">
        <v>237</v>
      </c>
      <c r="D21" s="88"/>
      <c r="E21" s="88"/>
      <c r="F21" s="88"/>
      <c r="G21" s="88"/>
      <c r="H21" s="88"/>
      <c r="I21" s="88"/>
    </row>
    <row r="23" spans="2:9" ht="73.8" customHeight="1" x14ac:dyDescent="0.3">
      <c r="B23" s="80" t="s">
        <v>238</v>
      </c>
      <c r="C23" s="80"/>
      <c r="D23" s="80"/>
      <c r="E23" s="80"/>
      <c r="F23" s="80"/>
    </row>
  </sheetData>
  <mergeCells count="9">
    <mergeCell ref="C19:I19"/>
    <mergeCell ref="C20:I20"/>
    <mergeCell ref="C21:I21"/>
    <mergeCell ref="B23:F23"/>
    <mergeCell ref="B1:H1"/>
    <mergeCell ref="B15:H15"/>
    <mergeCell ref="C16:I16"/>
    <mergeCell ref="C17:I17"/>
    <mergeCell ref="C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9"/>
  <sheetViews>
    <sheetView showGridLines="0" zoomScaleNormal="100" workbookViewId="0">
      <selection activeCell="E5" sqref="E5"/>
    </sheetView>
  </sheetViews>
  <sheetFormatPr defaultColWidth="8.6640625" defaultRowHeight="14.4" x14ac:dyDescent="0.3"/>
  <cols>
    <col min="1" max="1" width="5" customWidth="1"/>
    <col min="2" max="2" width="18.44140625" bestFit="1" customWidth="1"/>
    <col min="3" max="3" width="27.21875" bestFit="1" customWidth="1"/>
    <col min="4" max="4" width="29.88671875" bestFit="1" customWidth="1"/>
    <col min="5" max="6" width="20" customWidth="1"/>
    <col min="7" max="8" width="22" customWidth="1"/>
    <col min="9" max="9" width="36.109375" bestFit="1" customWidth="1"/>
  </cols>
  <sheetData>
    <row r="1" spans="2:9" ht="21.75" customHeight="1" x14ac:dyDescent="0.3">
      <c r="B1" s="77" t="s">
        <v>239</v>
      </c>
      <c r="C1" s="77"/>
      <c r="D1" s="77"/>
      <c r="E1" s="77"/>
      <c r="F1" s="77"/>
      <c r="G1" s="77"/>
      <c r="H1" s="77"/>
    </row>
    <row r="2" spans="2:9" ht="34.5" customHeight="1" x14ac:dyDescent="0.3">
      <c r="B2" s="10" t="s">
        <v>23</v>
      </c>
      <c r="C2" s="10" t="s">
        <v>54</v>
      </c>
      <c r="D2" s="10" t="s">
        <v>55</v>
      </c>
      <c r="E2" s="10" t="s">
        <v>240</v>
      </c>
      <c r="F2" s="10" t="s">
        <v>241</v>
      </c>
      <c r="G2" s="10" t="s">
        <v>155</v>
      </c>
      <c r="H2" s="10" t="s">
        <v>154</v>
      </c>
      <c r="I2" s="10" t="s">
        <v>57</v>
      </c>
    </row>
    <row r="3" spans="2:9" ht="18" customHeight="1" x14ac:dyDescent="0.3">
      <c r="B3" s="11">
        <v>2016</v>
      </c>
      <c r="C3" s="12">
        <v>64.38</v>
      </c>
      <c r="D3" s="12">
        <v>50.19</v>
      </c>
      <c r="E3" s="62">
        <f t="shared" ref="E3:E13" si="0">C3-D3</f>
        <v>14.189999999999998</v>
      </c>
      <c r="F3" s="47">
        <f t="shared" ref="F3:F13" si="1">(C3-D3)/C3</f>
        <v>0.22041006523765141</v>
      </c>
      <c r="G3" s="12">
        <v>21.48</v>
      </c>
      <c r="H3" s="12">
        <v>17.329999999999998</v>
      </c>
      <c r="I3" s="40" t="s">
        <v>242</v>
      </c>
    </row>
    <row r="4" spans="2:9" ht="18" customHeight="1" x14ac:dyDescent="0.3">
      <c r="B4" s="14">
        <v>2017</v>
      </c>
      <c r="C4" s="15">
        <v>69.989999999999995</v>
      </c>
      <c r="D4" s="15">
        <v>56.89</v>
      </c>
      <c r="E4" s="62">
        <f t="shared" si="0"/>
        <v>13.099999999999994</v>
      </c>
      <c r="F4" s="48">
        <f t="shared" si="1"/>
        <v>0.1871695956565223</v>
      </c>
      <c r="G4" s="15">
        <v>21.48</v>
      </c>
      <c r="H4" s="15">
        <v>17.329999999999998</v>
      </c>
      <c r="I4" s="44" t="s">
        <v>243</v>
      </c>
    </row>
    <row r="5" spans="2:9" ht="18" customHeight="1" x14ac:dyDescent="0.3">
      <c r="B5" s="11">
        <v>2018</v>
      </c>
      <c r="C5" s="12">
        <v>78.52</v>
      </c>
      <c r="D5" s="12">
        <v>63.54</v>
      </c>
      <c r="E5" s="62">
        <f t="shared" si="0"/>
        <v>14.979999999999997</v>
      </c>
      <c r="F5" s="47">
        <f t="shared" si="1"/>
        <v>0.19077941925624042</v>
      </c>
      <c r="G5" s="12">
        <v>19.98</v>
      </c>
      <c r="H5" s="12">
        <v>15.83</v>
      </c>
      <c r="I5" s="40" t="s">
        <v>244</v>
      </c>
    </row>
    <row r="6" spans="2:9" ht="18" customHeight="1" x14ac:dyDescent="0.3">
      <c r="B6" s="14">
        <v>2019</v>
      </c>
      <c r="C6" s="15">
        <v>73.83</v>
      </c>
      <c r="D6" s="15">
        <v>65.8</v>
      </c>
      <c r="E6" s="62">
        <f t="shared" si="0"/>
        <v>8.0300000000000011</v>
      </c>
      <c r="F6" s="48">
        <f t="shared" si="1"/>
        <v>0.10876337532168497</v>
      </c>
      <c r="G6" s="15">
        <v>19.98</v>
      </c>
      <c r="H6" s="15">
        <v>15.83</v>
      </c>
      <c r="I6" s="44" t="s">
        <v>245</v>
      </c>
    </row>
    <row r="7" spans="2:9" ht="18" customHeight="1" x14ac:dyDescent="0.3">
      <c r="B7" s="11">
        <v>2020</v>
      </c>
      <c r="C7" s="12">
        <v>80.430000000000007</v>
      </c>
      <c r="D7" s="12">
        <v>69.87</v>
      </c>
      <c r="E7" s="62">
        <f t="shared" si="0"/>
        <v>10.560000000000002</v>
      </c>
      <c r="F7" s="47">
        <f t="shared" si="1"/>
        <v>0.13129429317418875</v>
      </c>
      <c r="G7" s="12">
        <v>32.979999999999997</v>
      </c>
      <c r="H7" s="12">
        <v>31.83</v>
      </c>
      <c r="I7" s="40" t="s">
        <v>246</v>
      </c>
    </row>
    <row r="8" spans="2:9" ht="18" customHeight="1" x14ac:dyDescent="0.3">
      <c r="B8" s="14">
        <v>2021</v>
      </c>
      <c r="C8" s="15">
        <v>95.41</v>
      </c>
      <c r="D8" s="15">
        <v>86.2</v>
      </c>
      <c r="E8" s="62">
        <f t="shared" si="0"/>
        <v>9.2099999999999937</v>
      </c>
      <c r="F8" s="48">
        <f t="shared" si="1"/>
        <v>9.6530761974635726E-2</v>
      </c>
      <c r="G8" s="15">
        <v>27.9</v>
      </c>
      <c r="H8" s="15">
        <v>21.8</v>
      </c>
      <c r="I8" s="44" t="s">
        <v>247</v>
      </c>
    </row>
    <row r="9" spans="2:9" ht="18" customHeight="1" x14ac:dyDescent="0.3">
      <c r="B9" s="11">
        <v>2022</v>
      </c>
      <c r="C9" s="12">
        <v>95</v>
      </c>
      <c r="D9" s="12">
        <v>92</v>
      </c>
      <c r="E9" s="62">
        <f t="shared" si="0"/>
        <v>3</v>
      </c>
      <c r="F9" s="47">
        <f t="shared" si="1"/>
        <v>3.1578947368421054E-2</v>
      </c>
      <c r="G9" s="12">
        <v>19.899999999999999</v>
      </c>
      <c r="H9" s="12">
        <v>15.8</v>
      </c>
      <c r="I9" s="40" t="s">
        <v>248</v>
      </c>
    </row>
    <row r="10" spans="2:9" ht="18" customHeight="1" x14ac:dyDescent="0.3">
      <c r="B10" s="14">
        <v>2023</v>
      </c>
      <c r="C10" s="15">
        <v>98</v>
      </c>
      <c r="D10" s="15">
        <v>87.5</v>
      </c>
      <c r="E10" s="62">
        <f t="shared" si="0"/>
        <v>10.5</v>
      </c>
      <c r="F10" s="48">
        <f t="shared" si="1"/>
        <v>0.10714285714285714</v>
      </c>
      <c r="G10" s="15">
        <v>19.899999999999999</v>
      </c>
      <c r="H10" s="15">
        <v>15.8</v>
      </c>
      <c r="I10" s="44" t="s">
        <v>249</v>
      </c>
    </row>
    <row r="11" spans="2:9" ht="18" customHeight="1" x14ac:dyDescent="0.3">
      <c r="B11" s="11">
        <v>2024</v>
      </c>
      <c r="C11" s="12">
        <v>94.72</v>
      </c>
      <c r="D11" s="12">
        <v>87.62</v>
      </c>
      <c r="E11" s="62">
        <f t="shared" si="0"/>
        <v>7.0999999999999943</v>
      </c>
      <c r="F11" s="47">
        <f t="shared" si="1"/>
        <v>7.4957770270270216E-2</v>
      </c>
      <c r="G11" s="12">
        <v>19.899999999999999</v>
      </c>
      <c r="H11" s="12">
        <v>15.8</v>
      </c>
      <c r="I11" s="40" t="s">
        <v>250</v>
      </c>
    </row>
    <row r="12" spans="2:9" ht="18" customHeight="1" x14ac:dyDescent="0.3">
      <c r="B12" s="14">
        <v>2025</v>
      </c>
      <c r="C12" s="15">
        <v>95.41</v>
      </c>
      <c r="D12" s="15">
        <v>87.62</v>
      </c>
      <c r="E12" s="62">
        <f t="shared" si="0"/>
        <v>7.789999999999992</v>
      </c>
      <c r="F12" s="48">
        <f t="shared" si="1"/>
        <v>8.1647626035006735E-2</v>
      </c>
      <c r="G12" s="15">
        <v>13</v>
      </c>
      <c r="H12" s="15">
        <v>10</v>
      </c>
      <c r="I12" s="44" t="s">
        <v>251</v>
      </c>
    </row>
    <row r="13" spans="2:9" ht="18" customHeight="1" x14ac:dyDescent="0.3">
      <c r="B13" s="11">
        <v>2026</v>
      </c>
      <c r="C13" s="12">
        <v>97.77</v>
      </c>
      <c r="D13" s="12">
        <v>87.62</v>
      </c>
      <c r="E13" s="62">
        <f t="shared" si="0"/>
        <v>10.149999999999991</v>
      </c>
      <c r="F13" s="47">
        <f t="shared" si="1"/>
        <v>0.10381507619924304</v>
      </c>
      <c r="G13" s="12">
        <v>13</v>
      </c>
      <c r="H13" s="12">
        <v>10</v>
      </c>
      <c r="I13" s="40" t="s">
        <v>252</v>
      </c>
    </row>
    <row r="15" spans="2:9" ht="19.5" customHeight="1" x14ac:dyDescent="0.3">
      <c r="B15" s="78" t="s">
        <v>253</v>
      </c>
      <c r="C15" s="78"/>
      <c r="D15" s="78"/>
      <c r="E15" s="78"/>
      <c r="F15" s="78"/>
      <c r="G15" s="78"/>
      <c r="H15" s="78"/>
      <c r="I15" s="28"/>
    </row>
    <row r="16" spans="2:9" x14ac:dyDescent="0.3">
      <c r="B16" s="2" t="s">
        <v>254</v>
      </c>
      <c r="C16" s="2" t="s">
        <v>255</v>
      </c>
      <c r="D16" s="2" t="s">
        <v>256</v>
      </c>
      <c r="E16" s="2" t="s">
        <v>257</v>
      </c>
      <c r="F16" s="28"/>
      <c r="G16" s="28"/>
      <c r="H16" s="28"/>
      <c r="I16" s="28"/>
    </row>
    <row r="17" spans="2:9" ht="19.5" customHeight="1" x14ac:dyDescent="0.3">
      <c r="B17" s="45" t="s">
        <v>258</v>
      </c>
      <c r="C17" s="63" t="s">
        <v>259</v>
      </c>
      <c r="D17" s="63" t="s">
        <v>260</v>
      </c>
      <c r="E17" s="79" t="s">
        <v>261</v>
      </c>
      <c r="F17" s="79"/>
      <c r="G17" s="79"/>
      <c r="H17" s="79"/>
      <c r="I17" s="79"/>
    </row>
    <row r="18" spans="2:9" ht="19.5" customHeight="1" x14ac:dyDescent="0.3">
      <c r="B18" s="45" t="s">
        <v>262</v>
      </c>
      <c r="C18" s="64" t="s">
        <v>263</v>
      </c>
      <c r="D18" s="64" t="s">
        <v>264</v>
      </c>
      <c r="E18" s="79" t="s">
        <v>265</v>
      </c>
      <c r="F18" s="79"/>
      <c r="G18" s="79"/>
      <c r="H18" s="79"/>
      <c r="I18" s="79"/>
    </row>
    <row r="19" spans="2:9" ht="19.5" customHeight="1" x14ac:dyDescent="0.3">
      <c r="B19" s="45" t="s">
        <v>266</v>
      </c>
      <c r="C19" s="63" t="s">
        <v>267</v>
      </c>
      <c r="D19" s="63" t="s">
        <v>268</v>
      </c>
      <c r="E19" s="79" t="s">
        <v>269</v>
      </c>
      <c r="F19" s="79"/>
      <c r="G19" s="79"/>
      <c r="H19" s="79"/>
      <c r="I19" s="79"/>
    </row>
    <row r="20" spans="2:9" ht="19.5" customHeight="1" x14ac:dyDescent="0.3">
      <c r="B20" s="45" t="s">
        <v>270</v>
      </c>
      <c r="C20" s="64" t="s">
        <v>271</v>
      </c>
      <c r="D20" s="64" t="s">
        <v>272</v>
      </c>
      <c r="E20" s="79" t="s">
        <v>273</v>
      </c>
      <c r="F20" s="79"/>
      <c r="G20" s="79"/>
      <c r="H20" s="79"/>
      <c r="I20" s="79"/>
    </row>
    <row r="21" spans="2:9" ht="19.5" customHeight="1" x14ac:dyDescent="0.3">
      <c r="B21" s="45" t="s">
        <v>274</v>
      </c>
      <c r="C21" s="63" t="s">
        <v>275</v>
      </c>
      <c r="D21" s="63" t="s">
        <v>276</v>
      </c>
      <c r="E21" s="79" t="s">
        <v>277</v>
      </c>
      <c r="F21" s="79"/>
      <c r="G21" s="79"/>
      <c r="H21" s="79"/>
      <c r="I21" s="79"/>
    </row>
    <row r="22" spans="2:9" ht="19.5" customHeight="1" x14ac:dyDescent="0.3">
      <c r="B22" s="45" t="s">
        <v>278</v>
      </c>
      <c r="C22" s="64" t="s">
        <v>279</v>
      </c>
      <c r="D22" s="64" t="s">
        <v>280</v>
      </c>
      <c r="E22" s="79" t="s">
        <v>281</v>
      </c>
      <c r="F22" s="79"/>
      <c r="G22" s="79"/>
      <c r="H22" s="79"/>
      <c r="I22" s="79"/>
    </row>
    <row r="23" spans="2:9" ht="19.5" customHeight="1" x14ac:dyDescent="0.3">
      <c r="B23" s="45" t="s">
        <v>282</v>
      </c>
      <c r="C23" s="63" t="s">
        <v>283</v>
      </c>
      <c r="D23" s="63" t="s">
        <v>284</v>
      </c>
      <c r="E23" s="79" t="s">
        <v>285</v>
      </c>
      <c r="F23" s="79"/>
      <c r="G23" s="79"/>
      <c r="H23" s="79"/>
      <c r="I23" s="79"/>
    </row>
    <row r="24" spans="2:9" ht="19.5" customHeight="1" x14ac:dyDescent="0.3">
      <c r="B24" s="45" t="s">
        <v>286</v>
      </c>
      <c r="C24" s="64" t="s">
        <v>287</v>
      </c>
      <c r="D24" s="64" t="s">
        <v>288</v>
      </c>
      <c r="E24" s="79" t="s">
        <v>289</v>
      </c>
      <c r="F24" s="79"/>
      <c r="G24" s="79"/>
      <c r="H24" s="79"/>
      <c r="I24" s="79"/>
    </row>
    <row r="25" spans="2:9" ht="19.5" customHeight="1" x14ac:dyDescent="0.3">
      <c r="B25" s="45" t="s">
        <v>290</v>
      </c>
      <c r="C25" s="63" t="s">
        <v>291</v>
      </c>
      <c r="D25" s="63" t="s">
        <v>292</v>
      </c>
      <c r="E25" s="79" t="s">
        <v>293</v>
      </c>
      <c r="F25" s="79"/>
      <c r="G25" s="79"/>
      <c r="H25" s="79"/>
      <c r="I25" s="79"/>
    </row>
    <row r="26" spans="2:9" ht="19.5" customHeight="1" x14ac:dyDescent="0.3">
      <c r="B26" s="45" t="s">
        <v>294</v>
      </c>
      <c r="C26" s="64" t="s">
        <v>295</v>
      </c>
      <c r="D26" s="64" t="s">
        <v>296</v>
      </c>
      <c r="E26" s="79" t="s">
        <v>297</v>
      </c>
      <c r="F26" s="79"/>
      <c r="G26" s="79"/>
      <c r="H26" s="79"/>
      <c r="I26" s="79"/>
    </row>
    <row r="27" spans="2:9" x14ac:dyDescent="0.3">
      <c r="B27" s="28"/>
      <c r="C27" s="28"/>
      <c r="D27" s="28"/>
      <c r="E27" s="28"/>
      <c r="F27" s="28"/>
      <c r="G27" s="28"/>
      <c r="H27" s="28"/>
      <c r="I27" s="28"/>
    </row>
    <row r="29" spans="2:9" ht="48" customHeight="1" x14ac:dyDescent="0.3">
      <c r="B29" s="80" t="s">
        <v>298</v>
      </c>
      <c r="C29" s="80"/>
      <c r="D29" s="80"/>
      <c r="E29" s="80"/>
      <c r="F29" s="80"/>
    </row>
  </sheetData>
  <mergeCells count="13">
    <mergeCell ref="E25:I25"/>
    <mergeCell ref="E26:I26"/>
    <mergeCell ref="B29:F29"/>
    <mergeCell ref="E20:I20"/>
    <mergeCell ref="E21:I21"/>
    <mergeCell ref="E22:I22"/>
    <mergeCell ref="E23:I23"/>
    <mergeCell ref="E24:I24"/>
    <mergeCell ref="B1:H1"/>
    <mergeCell ref="B15:H15"/>
    <mergeCell ref="E17:I17"/>
    <mergeCell ref="E18:I18"/>
    <mergeCell ref="E19:I19"/>
  </mergeCells>
  <conditionalFormatting sqref="E3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INDEX</vt:lpstr>
      <vt:lpstr>1. Yearly Trends</vt:lpstr>
      <vt:lpstr>2. Monthly Prices</vt:lpstr>
      <vt:lpstr>3. State-wise Prices</vt:lpstr>
      <vt:lpstr>4. Crude Oil Impact</vt:lpstr>
      <vt:lpstr>5. Tax Breakdown</vt:lpstr>
      <vt:lpstr>6. Inflation Relation</vt:lpstr>
      <vt:lpstr>7. Diesel vs Petrol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Sahil Soni</cp:lastModifiedBy>
  <cp:revision>0</cp:revision>
  <dcterms:created xsi:type="dcterms:W3CDTF">2026-05-16T08:03:52Z</dcterms:created>
  <dcterms:modified xsi:type="dcterms:W3CDTF">2026-05-19T21:07:53Z</dcterms:modified>
  <dc:language>en-US</dc:language>
</cp:coreProperties>
</file>